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EXEMPLE Données fictive" sheetId="1" r:id="rId1"/>
    <sheet name="Suivi annuel" sheetId="2" r:id="rId2"/>
    <sheet name="Fournisseur Alpha" sheetId="3" r:id="rId3"/>
    <sheet name="Fournisseur Beta" sheetId="4" r:id="rId4"/>
    <sheet name="Fournisseur Gamma" sheetId="5" r:id="rId5"/>
  </sheets>
  <definedNames>
    <definedName name="_xlnm._FilterDatabase" localSheetId="1">'Suivi annuel'!A4:O21</definedName>
    <definedName name="_xlnm._FilterDatabase" localSheetId="2">'Fournisseur Alpha'!A1:B3</definedName>
    <definedName name="_xlnm._FilterDatabase" localSheetId="3">'Fournisseur Beta'!A1:B2</definedName>
    <definedName name="_xlnm._FilterDatabase" localSheetId="4">'Fournisseur Gamma'!A1:B2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4">
    <numFmt numFmtId="165" formatCode="mmmm yyyy"/>
    <numFmt numFmtId="166" formatCode="#,##0.00\ &quot;€&quot;"/>
    <numFmt numFmtId="167" formatCode="#,##0.00\ &quot;€&quot;"/>
    <numFmt numFmtId="168" formatCode="#,##0.00\ &quot;€&quot;"/>
    <numFmt numFmtId="169" formatCode="#,##0.00\ &quot;€&quot;"/>
    <numFmt numFmtId="170" formatCode="#,##0.00\ &quot;€&quot;"/>
    <numFmt numFmtId="171" formatCode="#,##0.00\ &quot;€&quot;"/>
    <numFmt numFmtId="172" formatCode="#,##0.00\ &quot;€&quot;"/>
    <numFmt numFmtId="173" formatCode="#,##0.00\ &quot;€&quot;"/>
    <numFmt numFmtId="174" formatCode="#,##0.00\ &quot;€&quot;"/>
    <numFmt numFmtId="175" formatCode="#,##0.00\ &quot;€&quot;"/>
    <numFmt numFmtId="176" formatCode="#,##0.00\ &quot;€&quot;"/>
    <numFmt numFmtId="177" formatCode="#,##0.00\ &quot;€&quot;"/>
    <numFmt numFmtId="178" formatCode="#,##0.00\ &quot;€&quot;"/>
  </numFmts>
  <fonts count="38" x14ac:knownFonts="1">
    <font>
      <sz val="11"/>
      <name val="Calibri"/>
    </font>
    <font>
      <sz val="11"/>
      <name val="Calibri"/>
    </font>
    <font>
      <sz val="26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0"/>
      <name val="Arial"/>
      <b/>
      <color rgb="FFFFFFFF"/>
    </font>
    <font>
      <sz val="10"/>
      <name val="Arial"/>
      <b/>
      <color rgb="FFFFFFFF"/>
    </font>
    <font>
      <sz val="10"/>
      <name val="Arial"/>
      <b/>
      <color rgb="FFFFFFFF"/>
    </font>
    <font>
      <sz val="11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2"/>
      <name val="Arial"/>
      <b/>
      <color rgb="FFFFFFFF"/>
    </font>
    <font>
      <sz val="16"/>
      <name val="Arial"/>
      <b/>
      <color rgb="FFFFFFFF"/>
    </font>
    <font>
      <sz val="12"/>
      <name val="Arial"/>
      <b/>
      <color rgb="FF243B50"/>
    </font>
    <font>
      <sz val="11"/>
      <name val="Arial"/>
      <color rgb="FF243B50"/>
    </font>
    <font>
      <sz val="11"/>
      <name val="Arial"/>
      <b/>
      <color rgb="FFFFFFFF"/>
    </font>
    <font>
      <sz val="12"/>
      <name val="Arial"/>
      <b/>
      <color rgb="FF243B50"/>
    </font>
    <font>
      <sz val="11"/>
      <name val="Arial"/>
      <color rgb="FF243B50"/>
    </font>
    <font>
      <sz val="11"/>
      <name val="Arial"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1"/>
      <name val="Arial"/>
      <color rgb="FF243B50"/>
    </font>
    <font>
      <sz val="11"/>
      <name val="Arial"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2"/>
      <name val="Arial"/>
      <b/>
      <color rgb="FFFFFFFF"/>
    </font>
    <font>
      <sz val="12"/>
      <name val="Arial"/>
      <b/>
      <color rgb="FFFFFFFF"/>
    </font>
    <font>
      <sz val="11"/>
      <name val="Arial"/>
      <b/>
      <color rgb="FFFFFFFF"/>
    </font>
    <font>
      <sz val="11"/>
      <name val="Arial"/>
      <b/>
      <color rgb="FFFFFFFF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007F7B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</borders>
  <cellStyleXfs>
    <xf numFmtId="0" fontId="0" fillId="0" borderId="0"/>
  </cellStyleXfs>
  <cellXfs count="4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indent="1" wrapText="true"/>
    </xf>
    <xf numFmtId="0" fontId="0" fillId="3" borderId="0" xfId="0" applyFill="1"/>
    <xf numFmtId="0" fontId="3" fillId="0" borderId="0" xfId="0" applyFont="1" applyAlignment="1">
      <alignment horizontal="left" vertical="center" indent="1" wrapText="true"/>
    </xf>
    <xf numFmtId="165" fontId="4" fillId="0" borderId="0" xfId="0" applyFont="1" applyNumberFormat="1" applyAlignment="1">
      <alignment horizontal="left" vertical="center" indent="1" wrapText="true"/>
    </xf>
    <xf numFmtId="0" fontId="5" fillId="4" borderId="0" xfId="0" applyFont="1" applyFill="1" applyAlignment="1">
      <alignment horizontal="left" vertical="center" indent="1" wrapText="true"/>
    </xf>
    <xf numFmtId="0" fontId="6" fillId="5" borderId="0" xfId="0" applyFont="1" applyFill="1" applyAlignment="1">
      <alignment horizontal="center" vertical="center" wrapText="true"/>
    </xf>
    <xf numFmtId="0" fontId="7" fillId="6" borderId="0" xfId="0" applyFont="1" applyFill="1" applyAlignment="1">
      <alignment horizontal="right" vertical="center" indent="1" wrapText="true"/>
    </xf>
    <xf numFmtId="0" fontId="8" fillId="7" borderId="0" xfId="0" applyFont="1" applyFill="1" applyAlignment="1">
      <alignment horizontal="left" vertical="center" indent="1" wrapText="true"/>
    </xf>
    <xf numFmtId="0" fontId="9" fillId="8" borderId="2" xfId="0" applyFont="1" applyFill="1" applyBorder="1" applyAlignment="1">
      <alignment horizontal="left" vertical="center" indent="1" wrapText="true"/>
    </xf>
    <xf numFmtId="166" fontId="10" fillId="9" borderId="3" xfId="0" applyFont="1" applyFill="1" applyBorder="1" applyNumberFormat="1" applyAlignment="1">
      <alignment horizontal="right" vertical="center" indent="1" wrapText="true"/>
    </xf>
    <xf numFmtId="0" fontId="11" fillId="10" borderId="4" xfId="0" applyFont="1" applyFill="1" applyBorder="1" applyAlignment="1">
      <alignment horizontal="left" vertical="center" indent="1" wrapText="true"/>
    </xf>
    <xf numFmtId="0" fontId="12" fillId="11" borderId="5" xfId="0" applyFont="1" applyFill="1" applyBorder="1" applyAlignment="1">
      <alignment horizontal="left" vertical="center" indent="1" wrapText="true"/>
    </xf>
    <xf numFmtId="167" fontId="13" fillId="12" borderId="6" xfId="0" applyFont="1" applyFill="1" applyBorder="1" applyNumberFormat="1" applyAlignment="1">
      <alignment horizontal="right" vertical="center" indent="1" wrapText="true"/>
    </xf>
    <xf numFmtId="168" fontId="14" fillId="13" borderId="7" xfId="0" applyFont="1" applyFill="1" applyBorder="1" applyNumberFormat="1" applyAlignment="1">
      <alignment horizontal="right" vertical="center" indent="1" wrapText="true"/>
    </xf>
    <xf numFmtId="169" fontId="15" fillId="14" borderId="0" xfId="0" applyFont="1" applyFill="1" applyNumberFormat="1" applyAlignment="1">
      <alignment horizontal="left" vertical="center" indent="1" wrapText="true"/>
    </xf>
    <xf numFmtId="170" fontId="16" fillId="15" borderId="0" xfId="0" applyFont="1" applyFill="1" applyNumberFormat="1" applyAlignment="1">
      <alignment horizontal="right" vertical="center" indent="1" wrapText="true"/>
    </xf>
    <xf numFmtId="171" fontId="17" fillId="16" borderId="0" xfId="0" applyFont="1" applyFill="1" applyNumberFormat="1" applyAlignment="1">
      <alignment horizontal="right" vertical="center" indent="1" wrapText="true"/>
    </xf>
    <xf numFmtId="0" fontId="18" fillId="17" borderId="0" xfId="0" applyFont="1" applyFill="1" applyAlignment="1">
      <alignment horizontal="left" vertical="center" indent="1" wrapText="true"/>
    </xf>
    <xf numFmtId="0" fontId="0" fillId="18" borderId="0" xfId="0" applyFill="1"/>
    <xf numFmtId="0" fontId="19" fillId="19" borderId="0" xfId="0" applyFont="1" applyFill="1" applyAlignment="1">
      <alignment horizontal="left" vertical="center" indent="1" wrapText="true"/>
    </xf>
    <xf numFmtId="0" fontId="20" fillId="20" borderId="0" xfId="0" applyFont="1" applyFill="1" applyAlignment="1">
      <alignment horizontal="left" vertical="center" indent="1" wrapText="true"/>
    </xf>
    <xf numFmtId="0" fontId="21" fillId="21" borderId="8" xfId="0" applyFont="1" applyFill="1" applyBorder="1" applyAlignment="1">
      <alignment horizontal="left" vertical="center" indent="1" wrapText="true"/>
    </xf>
    <xf numFmtId="0" fontId="22" fillId="22" borderId="9" xfId="0" applyFont="1" applyFill="1" applyBorder="1" applyAlignment="1">
      <alignment horizontal="left" vertical="center" indent="1" wrapText="true"/>
    </xf>
    <xf numFmtId="172" fontId="23" fillId="23" borderId="10" xfId="0" applyFont="1" applyFill="1" applyBorder="1" applyNumberFormat="1" applyAlignment="1">
      <alignment horizontal="right" vertical="center" indent="1" wrapText="true"/>
    </xf>
    <xf numFmtId="173" fontId="24" fillId="24" borderId="11" xfId="0" applyFont="1" applyFill="1" applyBorder="1" applyNumberFormat="1" applyAlignment="1">
      <alignment horizontal="right" vertical="center" indent="1" wrapText="true"/>
    </xf>
    <xf numFmtId="0" fontId="25" fillId="25" borderId="12" xfId="0" applyFont="1" applyFill="1" applyBorder="1" applyAlignment="1">
      <alignment horizontal="left" vertical="center" indent="1" wrapText="true"/>
    </xf>
    <xf numFmtId="0" fontId="26" fillId="26" borderId="13" xfId="0" applyFont="1" applyFill="1" applyBorder="1" applyAlignment="1">
      <alignment horizontal="left" vertical="center" indent="1" wrapText="true"/>
    </xf>
    <xf numFmtId="174" fontId="27" fillId="27" borderId="14" xfId="0" applyFont="1" applyFill="1" applyBorder="1" applyNumberFormat="1" applyAlignment="1">
      <alignment horizontal="right" vertical="center" indent="1" wrapText="true"/>
    </xf>
    <xf numFmtId="175" fontId="28" fillId="28" borderId="15" xfId="0" applyFont="1" applyFill="1" applyBorder="1" applyNumberFormat="1" applyAlignment="1">
      <alignment horizontal="right" vertical="center" indent="1" wrapText="true"/>
    </xf>
    <xf numFmtId="0" fontId="29" fillId="29" borderId="0" xfId="0" applyFont="1" applyFill="1" applyAlignment="1">
      <alignment horizontal="left" vertical="center" indent="1" wrapText="true"/>
    </xf>
    <xf numFmtId="0" fontId="30" fillId="30" borderId="0" xfId="0" applyFont="1" applyFill="1"/>
    <xf numFmtId="176" fontId="31" fillId="31" borderId="0" xfId="0" applyFont="1" applyFill="1" applyNumberFormat="1" applyAlignment="1">
      <alignment horizontal="right" vertical="center" indent="1" wrapText="true"/>
    </xf>
    <xf numFmtId="0" fontId="32" fillId="32" borderId="16" xfId="0" applyFont="1" applyFill="1" applyBorder="1" applyAlignment="1">
      <alignment horizontal="left" vertical="center" indent="1" wrapText="true"/>
    </xf>
    <xf numFmtId="0" fontId="33" fillId="33" borderId="17" xfId="0" applyFont="1" applyFill="1" applyBorder="1" applyAlignment="1">
      <alignment horizontal="right" vertical="center" indent="1" wrapText="true"/>
    </xf>
    <xf numFmtId="0" fontId="34" fillId="34" borderId="18" xfId="0" applyFont="1" applyFill="1" applyBorder="1" applyAlignment="1">
      <alignment horizontal="left" vertical="center" indent="1" wrapText="true"/>
    </xf>
    <xf numFmtId="177" fontId="35" fillId="35" borderId="19" xfId="0" applyFont="1" applyFill="1" applyBorder="1" applyNumberFormat="1" applyAlignment="1">
      <alignment horizontal="right" vertical="center" indent="1" wrapText="true"/>
    </xf>
    <xf numFmtId="0" fontId="36" fillId="36" borderId="20" xfId="0" applyFont="1" applyFill="1" applyBorder="1" applyAlignment="1">
      <alignment horizontal="left" vertical="center" indent="1" wrapText="true"/>
    </xf>
    <xf numFmtId="178" fontId="37" fillId="37" borderId="21" xfId="0" applyFont="1" applyFill="1" applyBorder="1" applyNumberFormat="1" applyAlignment="1">
      <alignment horizontal="right" vertical="center" indent="1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5" topLeftCell="A6" activePane="bottomLeft" state="frozen"/>
      <selection pane="bottomLeft" activeCell="A6" sqref="A6"/>
    </sheetView>
  </sheetViews>
  <cols>
    <col min="1" max="1" width="30.83203125" customWidth="1"/>
    <col min="2" max="2" width="18.83203125" customWidth="1"/>
    <col min="3" max="3" width="20.83203125" customWidth="1"/>
    <col min="4" max="4" width="20.83203125" customWidth="1"/>
    <col min="5" max="5" width="22.83203125" customWidth="1"/>
  </cols>
  <sheetData>
    <row r="1" ht="46" customHeight="1">
      <c r="A1" s="3" t="str">
        <v>Commissions</v>
      </c>
      <c r="B1" s="4" t="str">
        <v/>
      </c>
      <c r="C1" s="4" t="str">
        <v/>
      </c>
      <c r="D1" s="4" t="str">
        <v/>
      </c>
      <c r="E1" s="4" t="str">
        <v/>
      </c>
    </row>
    <row r="2" ht="28" customHeight="1">
      <c r="A2" s="5" t="str">
        <v>EXEMPLE Données fictives</v>
      </c>
    </row>
    <row r="3" ht="26" customHeight="1">
      <c r="A3" s="6">
        <v>46303</v>
      </c>
    </row>
    <row r="4" ht="24" customHeight="1">
      <c r="A4" s="7" t="str">
        <v>👤  FOURNISSEUR</v>
      </c>
      <c r="B4" s="7" t="str">
        <v>✎  NOTE</v>
      </c>
      <c r="C4" s="8" t="str">
        <v>€  COMMISSIONS HT</v>
      </c>
      <c r="D4" s="9" t="str">
        <v/>
      </c>
      <c r="E4" s="9" t="str">
        <v/>
      </c>
    </row>
    <row r="5" ht="28" customHeight="1">
      <c r="A5" s="7" t="str">
        <v/>
      </c>
      <c r="B5" s="7" t="str">
        <v/>
      </c>
      <c r="C5" s="9" t="str">
        <v>PRODUCTION</v>
      </c>
      <c r="D5" s="9" t="str">
        <v>ENCOURS</v>
      </c>
      <c r="E5" s="9" t="str">
        <v>TOTAL COM</v>
      </c>
    </row>
    <row r="6" ht="26" customHeight="1">
      <c r="A6" s="10" t="str">
        <v>IAS</v>
      </c>
      <c r="B6" s="10" t="str">
        <v/>
      </c>
      <c r="C6" s="10" t="str">
        <v/>
      </c>
      <c r="D6" s="10" t="str">
        <v/>
      </c>
      <c r="E6" s="10" t="str">
        <v/>
      </c>
    </row>
    <row r="7" ht="28" customHeight="1">
      <c r="A7" s="11" t="str">
        <v>Fournisseur Alpha</v>
      </c>
      <c r="B7" s="11" t="str">
        <v/>
      </c>
      <c r="C7" s="12">
        <v>75.5</v>
      </c>
      <c r="D7" s="12">
        <v>24.5</v>
      </c>
      <c r="E7" s="12">
        <f>SUM(C7:D7)</f>
        <v>100</v>
      </c>
    </row>
    <row r="8" ht="28" customHeight="1">
      <c r="A8" s="13" t="str">
        <v>Fournisseur Beta</v>
      </c>
      <c r="B8" s="14" t="str">
        <v/>
      </c>
      <c r="C8" s="15">
        <v>-20</v>
      </c>
      <c r="D8" s="15">
        <v>5</v>
      </c>
      <c r="E8" s="15">
        <f>SUM(C8:D8)</f>
        <v>-15</v>
      </c>
    </row>
    <row r="9" ht="26" customHeight="1">
      <c r="A9" s="10" t="str">
        <v>CIF</v>
      </c>
      <c r="B9" s="10" t="str">
        <v/>
      </c>
      <c r="C9" s="10" t="str">
        <v/>
      </c>
      <c r="D9" s="10" t="str">
        <v/>
      </c>
      <c r="E9" s="10" t="str">
        <v/>
      </c>
    </row>
    <row r="10" ht="28" customHeight="1">
      <c r="A10" s="11" t="str">
        <v>Fournisseur Alpha</v>
      </c>
      <c r="B10" s="11" t="str">
        <v/>
      </c>
      <c r="C10" s="12">
        <v>120</v>
      </c>
      <c r="D10" s="12">
        <v>30</v>
      </c>
      <c r="E10" s="12">
        <f>SUM(C10:D10)</f>
        <v>150</v>
      </c>
    </row>
    <row r="11" ht="28" customHeight="1">
      <c r="A11" s="13" t="str">
        <v>Fournisseur Gamma</v>
      </c>
      <c r="B11" s="13" t="str">
        <v/>
      </c>
      <c r="C11" s="16">
        <v>250</v>
      </c>
      <c r="D11" s="15">
        <v>0</v>
      </c>
      <c r="E11" s="15">
        <f>SUM(C11:D11)</f>
        <v>250</v>
      </c>
    </row>
    <row r="12" ht="36" customHeight="1">
      <c r="A12" s="17" t="str">
        <v>TOTAL</v>
      </c>
      <c r="B12" s="17" t="str">
        <v/>
      </c>
      <c r="C12" s="18">
        <f>SUM(C6:C11)</f>
        <v>425.5</v>
      </c>
      <c r="D12" s="18">
        <f>SUM(D6:D11)</f>
        <v>59.5</v>
      </c>
      <c r="E12" s="19">
        <f>SUM(E6:E11)</f>
        <v>485</v>
      </c>
    </row>
  </sheetData>
  <mergeCells count="9">
    <mergeCell ref="A1:E1"/>
    <mergeCell ref="A2:E2"/>
    <mergeCell ref="A3:E3"/>
    <mergeCell ref="A12:B12"/>
    <mergeCell ref="A4:A5"/>
    <mergeCell ref="B4:B5"/>
    <mergeCell ref="C4:E4"/>
    <mergeCell ref="A6:E6"/>
    <mergeCell ref="A9:E9"/>
  </mergeCells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showGridLines="0" workbookViewId="0">
      <pane ySplit="4" xSplit="2" topLeftCell="C5" activePane="bottomRight" state="frozen"/>
      <selection pane="bottomRight" activeCell="C5" sqref="C5"/>
    </sheetView>
  </sheetViews>
  <cols>
    <col min="1" max="1" width="30.83203125" customWidth="1"/>
    <col min="2" max="2" width="16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22.83203125" customWidth="1"/>
  </cols>
  <sheetData>
    <row r="1" ht="46" customHeight="1">
      <c r="A1" s="3" t="str">
        <v>Suivi annuel des commissions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</row>
    <row r="2" ht="28" customHeight="1">
      <c r="A2" s="20" t="str">
        <v>EXEMPLE Données fictives</v>
      </c>
      <c r="B2" s="21" t="str">
        <v/>
      </c>
      <c r="C2" s="21" t="str">
        <v/>
      </c>
      <c r="D2" s="21" t="str">
        <v/>
      </c>
      <c r="E2" s="21" t="str">
        <v/>
      </c>
      <c r="F2" s="21" t="str">
        <v/>
      </c>
      <c r="G2" s="21" t="str">
        <v/>
      </c>
      <c r="H2" s="21" t="str">
        <v/>
      </c>
      <c r="I2" s="21" t="str">
        <v/>
      </c>
      <c r="J2" s="21" t="str">
        <v/>
      </c>
      <c r="K2" s="21" t="str">
        <v/>
      </c>
      <c r="L2" s="21" t="str">
        <v/>
      </c>
      <c r="M2" s="21" t="str">
        <v/>
      </c>
      <c r="N2" s="21" t="str">
        <v/>
      </c>
      <c r="O2" s="21" t="str">
        <v/>
      </c>
    </row>
    <row r="3" ht="28" customHeight="1">
      <c r="A3" s="22" t="str">
        <v>2026 · Commissions HT · Synthèses retenues, archives incluses. Cellule vide : mois sans synthèse.</v>
      </c>
      <c r="B3" s="21" t="str">
        <v/>
      </c>
      <c r="C3" s="21" t="str">
        <v/>
      </c>
      <c r="D3" s="21" t="str">
        <v/>
      </c>
      <c r="E3" s="21" t="str">
        <v/>
      </c>
      <c r="F3" s="21" t="str">
        <v/>
      </c>
      <c r="G3" s="21" t="str">
        <v/>
      </c>
      <c r="H3" s="21" t="str">
        <v/>
      </c>
      <c r="I3" s="21" t="str">
        <v/>
      </c>
      <c r="J3" s="21" t="str">
        <v/>
      </c>
      <c r="K3" s="21" t="str">
        <v/>
      </c>
      <c r="L3" s="21" t="str">
        <v/>
      </c>
      <c r="M3" s="21" t="str">
        <v/>
      </c>
      <c r="N3" s="21" t="str">
        <v/>
      </c>
      <c r="O3" s="21" t="str">
        <v/>
      </c>
    </row>
    <row r="4" ht="32" customHeight="1">
      <c r="A4" s="7" t="str">
        <v>👤  FOURNISSEUR</v>
      </c>
      <c r="B4" s="7" t="str">
        <v>TYPE</v>
      </c>
      <c r="C4" s="9" t="str">
        <v>JANVIER</v>
      </c>
      <c r="D4" s="9" t="str">
        <v>FÉVRIER</v>
      </c>
      <c r="E4" s="9" t="str">
        <v>MARS</v>
      </c>
      <c r="F4" s="9" t="str">
        <v>AVRIL</v>
      </c>
      <c r="G4" s="9" t="str">
        <v>MAI</v>
      </c>
      <c r="H4" s="9" t="str">
        <v>JUIN</v>
      </c>
      <c r="I4" s="9" t="str">
        <v>JUILLET</v>
      </c>
      <c r="J4" s="9" t="str">
        <v>AOÛT</v>
      </c>
      <c r="K4" s="9" t="str">
        <v>SEPTEMBRE</v>
      </c>
      <c r="L4" s="9" t="str">
        <v>OCTOBRE</v>
      </c>
      <c r="M4" s="9" t="str">
        <v>NOVEMBRE</v>
      </c>
      <c r="N4" s="9" t="str">
        <v>DÉCEMBRE</v>
      </c>
      <c r="O4" s="9" t="str">
        <v>TOTAL ANNUEL</v>
      </c>
    </row>
    <row r="5" ht="26" customHeight="1">
      <c r="A5" s="23" t="str">
        <v>IAS</v>
      </c>
      <c r="B5" s="23" t="str">
        <v/>
      </c>
      <c r="C5" s="23" t="str">
        <v/>
      </c>
      <c r="D5" s="23" t="str">
        <v/>
      </c>
      <c r="E5" s="23" t="str">
        <v/>
      </c>
      <c r="F5" s="23" t="str">
        <v/>
      </c>
      <c r="G5" s="23" t="str">
        <v/>
      </c>
      <c r="H5" s="23" t="str">
        <v/>
      </c>
      <c r="I5" s="23" t="str">
        <v/>
      </c>
      <c r="J5" s="23" t="str">
        <v/>
      </c>
      <c r="K5" s="23" t="str">
        <v/>
      </c>
      <c r="L5" s="23" t="str">
        <v/>
      </c>
      <c r="M5" s="23" t="str">
        <v/>
      </c>
      <c r="N5" s="23" t="str">
        <v/>
      </c>
      <c r="O5" s="23" t="str">
        <v/>
      </c>
    </row>
    <row r="6" ht="28" customHeight="1">
      <c r="A6" s="24" t="str">
        <v>Fournisseur Alpha</v>
      </c>
      <c r="B6" s="25" t="str">
        <v>Production</v>
      </c>
      <c r="C6" s="26">
        <v>100</v>
      </c>
      <c r="D6" s="26">
        <v>150.75</v>
      </c>
      <c r="E6" s="26">
        <v>0</v>
      </c>
      <c r="F6" s="26">
        <v>0</v>
      </c>
      <c r="G6" s="26" t="str">
        <v/>
      </c>
      <c r="H6" s="26" t="str">
        <v/>
      </c>
      <c r="I6" s="26" t="str">
        <v/>
      </c>
      <c r="J6" s="26" t="str">
        <v/>
      </c>
      <c r="K6" s="26" t="str">
        <v/>
      </c>
      <c r="L6" s="26">
        <v>75.5</v>
      </c>
      <c r="M6" s="26" t="str">
        <v/>
      </c>
      <c r="N6" s="26">
        <v>5</v>
      </c>
      <c r="O6" s="27">
        <f>SUM(C6:N6)</f>
        <v>331.25</v>
      </c>
    </row>
    <row r="7" ht="28" customHeight="1">
      <c r="A7" s="24" t="str">
        <v>Fournisseur Alpha</v>
      </c>
      <c r="B7" s="25" t="str">
        <v>Encours</v>
      </c>
      <c r="C7" s="26">
        <v>20</v>
      </c>
      <c r="D7" s="26">
        <v>25.25</v>
      </c>
      <c r="E7" s="26">
        <v>0</v>
      </c>
      <c r="F7" s="26">
        <v>0</v>
      </c>
      <c r="G7" s="26" t="str">
        <v/>
      </c>
      <c r="H7" s="26" t="str">
        <v/>
      </c>
      <c r="I7" s="26" t="str">
        <v/>
      </c>
      <c r="J7" s="26" t="str">
        <v/>
      </c>
      <c r="K7" s="26" t="str">
        <v/>
      </c>
      <c r="L7" s="26">
        <v>24.5</v>
      </c>
      <c r="M7" s="26" t="str">
        <v/>
      </c>
      <c r="N7" s="26">
        <v>1</v>
      </c>
      <c r="O7" s="27">
        <f>SUM(C7:N7)</f>
        <v>70.75</v>
      </c>
    </row>
    <row r="8" ht="28" customHeight="1">
      <c r="A8" s="28" t="str">
        <v>Fournisseur Beta</v>
      </c>
      <c r="B8" s="29" t="str">
        <v>Production</v>
      </c>
      <c r="C8" s="30">
        <v>10.25</v>
      </c>
      <c r="D8" s="30">
        <v>20</v>
      </c>
      <c r="E8" s="30">
        <v>0</v>
      </c>
      <c r="F8" s="30">
        <v>0</v>
      </c>
      <c r="G8" s="30" t="str">
        <v/>
      </c>
      <c r="H8" s="30" t="str">
        <v/>
      </c>
      <c r="I8" s="30" t="str">
        <v/>
      </c>
      <c r="J8" s="30" t="str">
        <v/>
      </c>
      <c r="K8" s="30" t="str">
        <v/>
      </c>
      <c r="L8" s="30">
        <v>-20</v>
      </c>
      <c r="M8" s="30" t="str">
        <v/>
      </c>
      <c r="N8" s="30">
        <v>10</v>
      </c>
      <c r="O8" s="31">
        <f>SUM(C8:N8)</f>
        <v>20.25</v>
      </c>
    </row>
    <row r="9" ht="28" customHeight="1">
      <c r="A9" s="28" t="str">
        <v>Fournisseur Beta</v>
      </c>
      <c r="B9" s="29" t="str">
        <v>Encours</v>
      </c>
      <c r="C9" s="30">
        <v>0</v>
      </c>
      <c r="D9" s="30">
        <v>0</v>
      </c>
      <c r="E9" s="30">
        <v>0</v>
      </c>
      <c r="F9" s="30">
        <v>0</v>
      </c>
      <c r="G9" s="30" t="str">
        <v/>
      </c>
      <c r="H9" s="30" t="str">
        <v/>
      </c>
      <c r="I9" s="30" t="str">
        <v/>
      </c>
      <c r="J9" s="30" t="str">
        <v/>
      </c>
      <c r="K9" s="30" t="str">
        <v/>
      </c>
      <c r="L9" s="30">
        <v>5</v>
      </c>
      <c r="M9" s="30" t="str">
        <v/>
      </c>
      <c r="N9" s="30">
        <v>2</v>
      </c>
      <c r="O9" s="31">
        <f>SUM(C9:N9)</f>
        <v>7</v>
      </c>
    </row>
    <row r="10" ht="26" customHeight="1">
      <c r="A10" s="23" t="str">
        <v>CIF</v>
      </c>
      <c r="B10" s="23" t="str">
        <v/>
      </c>
      <c r="C10" s="23" t="str">
        <v/>
      </c>
      <c r="D10" s="23" t="str">
        <v/>
      </c>
      <c r="E10" s="23" t="str">
        <v/>
      </c>
      <c r="F10" s="23" t="str">
        <v/>
      </c>
      <c r="G10" s="23" t="str">
        <v/>
      </c>
      <c r="H10" s="23" t="str">
        <v/>
      </c>
      <c r="I10" s="23" t="str">
        <v/>
      </c>
      <c r="J10" s="23" t="str">
        <v/>
      </c>
      <c r="K10" s="23" t="str">
        <v/>
      </c>
      <c r="L10" s="23" t="str">
        <v/>
      </c>
      <c r="M10" s="23" t="str">
        <v/>
      </c>
      <c r="N10" s="23" t="str">
        <v/>
      </c>
      <c r="O10" s="23" t="str">
        <v/>
      </c>
    </row>
    <row r="11" ht="28" customHeight="1">
      <c r="A11" s="24" t="str">
        <v>Fournisseur Alpha</v>
      </c>
      <c r="B11" s="25" t="str">
        <v>Production</v>
      </c>
      <c r="C11" s="26">
        <v>40</v>
      </c>
      <c r="D11" s="26">
        <v>0</v>
      </c>
      <c r="E11" s="26">
        <v>0</v>
      </c>
      <c r="F11" s="26">
        <v>-10.25</v>
      </c>
      <c r="G11" s="26" t="str">
        <v/>
      </c>
      <c r="H11" s="26" t="str">
        <v/>
      </c>
      <c r="I11" s="26" t="str">
        <v/>
      </c>
      <c r="J11" s="26" t="str">
        <v/>
      </c>
      <c r="K11" s="26" t="str">
        <v/>
      </c>
      <c r="L11" s="26">
        <v>120</v>
      </c>
      <c r="M11" s="26" t="str">
        <v/>
      </c>
      <c r="N11" s="26">
        <v>0</v>
      </c>
      <c r="O11" s="27">
        <f>SUM(C11:N11)</f>
        <v>149.75</v>
      </c>
    </row>
    <row r="12" ht="28" customHeight="1">
      <c r="A12" s="24" t="str">
        <v>Fournisseur Alpha</v>
      </c>
      <c r="B12" s="25" t="str">
        <v>Encours</v>
      </c>
      <c r="C12" s="26">
        <v>5</v>
      </c>
      <c r="D12" s="26">
        <v>12.5</v>
      </c>
      <c r="E12" s="26">
        <v>0</v>
      </c>
      <c r="F12" s="26">
        <v>1</v>
      </c>
      <c r="G12" s="26" t="str">
        <v/>
      </c>
      <c r="H12" s="26" t="str">
        <v/>
      </c>
      <c r="I12" s="26" t="str">
        <v/>
      </c>
      <c r="J12" s="26" t="str">
        <v/>
      </c>
      <c r="K12" s="26" t="str">
        <v/>
      </c>
      <c r="L12" s="26">
        <v>30</v>
      </c>
      <c r="M12" s="26" t="str">
        <v/>
      </c>
      <c r="N12" s="26">
        <v>10</v>
      </c>
      <c r="O12" s="27">
        <f>SUM(C12:N12)</f>
        <v>58.5</v>
      </c>
    </row>
    <row r="13" ht="28" customHeight="1">
      <c r="A13" s="28" t="str">
        <v>Fournisseur Beta</v>
      </c>
      <c r="B13" s="29" t="str">
        <v>Production</v>
      </c>
      <c r="C13" s="30">
        <v>0</v>
      </c>
      <c r="D13" s="30">
        <v>30</v>
      </c>
      <c r="E13" s="30">
        <v>0</v>
      </c>
      <c r="F13" s="30">
        <v>0</v>
      </c>
      <c r="G13" s="30" t="str">
        <v/>
      </c>
      <c r="H13" s="30" t="str">
        <v/>
      </c>
      <c r="I13" s="30" t="str">
        <v/>
      </c>
      <c r="J13" s="30" t="str">
        <v/>
      </c>
      <c r="K13" s="30" t="str">
        <v/>
      </c>
      <c r="L13" s="30">
        <v>0</v>
      </c>
      <c r="M13" s="30" t="str">
        <v/>
      </c>
      <c r="N13" s="30">
        <v>0</v>
      </c>
      <c r="O13" s="31">
        <f>SUM(C13:N13)</f>
        <v>30</v>
      </c>
    </row>
    <row r="14" ht="28" customHeight="1">
      <c r="A14" s="28" t="str">
        <v>Fournisseur Beta</v>
      </c>
      <c r="B14" s="29" t="str">
        <v>Encours</v>
      </c>
      <c r="C14" s="30">
        <v>0</v>
      </c>
      <c r="D14" s="30">
        <v>2.25</v>
      </c>
      <c r="E14" s="30">
        <v>0</v>
      </c>
      <c r="F14" s="30">
        <v>0</v>
      </c>
      <c r="G14" s="30" t="str">
        <v/>
      </c>
      <c r="H14" s="30" t="str">
        <v/>
      </c>
      <c r="I14" s="30" t="str">
        <v/>
      </c>
      <c r="J14" s="30" t="str">
        <v/>
      </c>
      <c r="K14" s="30" t="str">
        <v/>
      </c>
      <c r="L14" s="30">
        <v>0</v>
      </c>
      <c r="M14" s="30" t="str">
        <v/>
      </c>
      <c r="N14" s="30">
        <v>0</v>
      </c>
      <c r="O14" s="31">
        <f>SUM(C14:N14)</f>
        <v>2.25</v>
      </c>
    </row>
    <row r="15" ht="28" customHeight="1">
      <c r="A15" s="24" t="str">
        <v>Fournisseur Gamma</v>
      </c>
      <c r="B15" s="25" t="str">
        <v>Production</v>
      </c>
      <c r="C15" s="26">
        <v>-5.5</v>
      </c>
      <c r="D15" s="26">
        <v>0</v>
      </c>
      <c r="E15" s="26">
        <v>0</v>
      </c>
      <c r="F15" s="26">
        <v>0</v>
      </c>
      <c r="G15" s="26" t="str">
        <v/>
      </c>
      <c r="H15" s="26" t="str">
        <v/>
      </c>
      <c r="I15" s="26" t="str">
        <v/>
      </c>
      <c r="J15" s="26" t="str">
        <v/>
      </c>
      <c r="K15" s="26" t="str">
        <v/>
      </c>
      <c r="L15" s="26">
        <v>250</v>
      </c>
      <c r="M15" s="26" t="str">
        <v/>
      </c>
      <c r="N15" s="26">
        <v>7.75</v>
      </c>
      <c r="O15" s="27">
        <f>SUM(C15:N15)</f>
        <v>252.25</v>
      </c>
    </row>
    <row r="16" ht="28" customHeight="1">
      <c r="A16" s="24" t="str">
        <v>Fournisseur Gamma</v>
      </c>
      <c r="B16" s="25" t="str">
        <v>Encours</v>
      </c>
      <c r="C16" s="26">
        <v>1.25</v>
      </c>
      <c r="D16" s="26">
        <v>0</v>
      </c>
      <c r="E16" s="26">
        <v>0</v>
      </c>
      <c r="F16" s="26">
        <v>4</v>
      </c>
      <c r="G16" s="26" t="str">
        <v/>
      </c>
      <c r="H16" s="26" t="str">
        <v/>
      </c>
      <c r="I16" s="26" t="str">
        <v/>
      </c>
      <c r="J16" s="26" t="str">
        <v/>
      </c>
      <c r="K16" s="26" t="str">
        <v/>
      </c>
      <c r="L16" s="26">
        <v>0</v>
      </c>
      <c r="M16" s="26" t="str">
        <v/>
      </c>
      <c r="N16" s="26">
        <v>2.25</v>
      </c>
      <c r="O16" s="27">
        <f>SUM(C16:N16)</f>
        <v>7.5</v>
      </c>
    </row>
    <row r="17" ht="26" customHeight="1">
      <c r="A17" s="23" t="str">
        <v>NON CLASSÉ</v>
      </c>
      <c r="B17" s="23" t="str">
        <v/>
      </c>
      <c r="C17" s="23" t="str">
        <v/>
      </c>
      <c r="D17" s="23" t="str">
        <v/>
      </c>
      <c r="E17" s="23" t="str">
        <v/>
      </c>
      <c r="F17" s="23" t="str">
        <v/>
      </c>
      <c r="G17" s="23" t="str">
        <v/>
      </c>
      <c r="H17" s="23" t="str">
        <v/>
      </c>
      <c r="I17" s="23" t="str">
        <v/>
      </c>
      <c r="J17" s="23" t="str">
        <v/>
      </c>
      <c r="K17" s="23" t="str">
        <v/>
      </c>
      <c r="L17" s="23" t="str">
        <v/>
      </c>
      <c r="M17" s="23" t="str">
        <v/>
      </c>
      <c r="N17" s="23" t="str">
        <v/>
      </c>
      <c r="O17" s="23" t="str">
        <v/>
      </c>
    </row>
    <row r="18" ht="28" customHeight="1">
      <c r="A18" s="24" t="str">
        <v>Fournisseur Alpha</v>
      </c>
      <c r="B18" s="25" t="str">
        <v>Production</v>
      </c>
      <c r="C18" s="26">
        <v>0</v>
      </c>
      <c r="D18" s="26">
        <v>0</v>
      </c>
      <c r="E18" s="26">
        <v>110</v>
      </c>
      <c r="F18" s="26">
        <v>0</v>
      </c>
      <c r="G18" s="26" t="str">
        <v/>
      </c>
      <c r="H18" s="26" t="str">
        <v/>
      </c>
      <c r="I18" s="26" t="str">
        <v/>
      </c>
      <c r="J18" s="26" t="str">
        <v/>
      </c>
      <c r="K18" s="26" t="str">
        <v/>
      </c>
      <c r="L18" s="26">
        <v>0</v>
      </c>
      <c r="M18" s="26" t="str">
        <v/>
      </c>
      <c r="N18" s="26">
        <v>0</v>
      </c>
      <c r="O18" s="27">
        <f>SUM(C18:N18)</f>
        <v>110</v>
      </c>
    </row>
    <row r="19" ht="28" customHeight="1">
      <c r="A19" s="24" t="str">
        <v>Fournisseur Alpha</v>
      </c>
      <c r="B19" s="25" t="str">
        <v>Encours</v>
      </c>
      <c r="C19" s="26">
        <v>0</v>
      </c>
      <c r="D19" s="26">
        <v>0</v>
      </c>
      <c r="E19" s="26">
        <v>22</v>
      </c>
      <c r="F19" s="26">
        <v>0</v>
      </c>
      <c r="G19" s="26" t="str">
        <v/>
      </c>
      <c r="H19" s="26" t="str">
        <v/>
      </c>
      <c r="I19" s="26" t="str">
        <v/>
      </c>
      <c r="J19" s="26" t="str">
        <v/>
      </c>
      <c r="K19" s="26" t="str">
        <v/>
      </c>
      <c r="L19" s="26">
        <v>0</v>
      </c>
      <c r="M19" s="26" t="str">
        <v/>
      </c>
      <c r="N19" s="26">
        <v>0</v>
      </c>
      <c r="O19" s="27">
        <f>SUM(C19:N19)</f>
        <v>22</v>
      </c>
    </row>
    <row r="20" ht="28" customHeight="1">
      <c r="A20" s="28" t="str">
        <v>Fournisseur Delta</v>
      </c>
      <c r="B20" s="29" t="str">
        <v>Production</v>
      </c>
      <c r="C20" s="30">
        <v>0</v>
      </c>
      <c r="D20" s="30">
        <v>0</v>
      </c>
      <c r="E20" s="30">
        <v>-5</v>
      </c>
      <c r="F20" s="30">
        <v>0</v>
      </c>
      <c r="G20" s="30" t="str">
        <v/>
      </c>
      <c r="H20" s="30" t="str">
        <v/>
      </c>
      <c r="I20" s="30" t="str">
        <v/>
      </c>
      <c r="J20" s="30" t="str">
        <v/>
      </c>
      <c r="K20" s="30" t="str">
        <v/>
      </c>
      <c r="L20" s="30">
        <v>0</v>
      </c>
      <c r="M20" s="30" t="str">
        <v/>
      </c>
      <c r="N20" s="30">
        <v>0</v>
      </c>
      <c r="O20" s="31">
        <f>SUM(C20:N20)</f>
        <v>-5</v>
      </c>
    </row>
    <row r="21" ht="28" customHeight="1">
      <c r="A21" s="28" t="str">
        <v>Fournisseur Delta</v>
      </c>
      <c r="B21" s="29" t="str">
        <v>Encours</v>
      </c>
      <c r="C21" s="30">
        <v>0</v>
      </c>
      <c r="D21" s="30">
        <v>0</v>
      </c>
      <c r="E21" s="30">
        <v>0</v>
      </c>
      <c r="F21" s="30">
        <v>0</v>
      </c>
      <c r="G21" s="30" t="str">
        <v/>
      </c>
      <c r="H21" s="30" t="str">
        <v/>
      </c>
      <c r="I21" s="30" t="str">
        <v/>
      </c>
      <c r="J21" s="30" t="str">
        <v/>
      </c>
      <c r="K21" s="30" t="str">
        <v/>
      </c>
      <c r="L21" s="30">
        <v>0</v>
      </c>
      <c r="M21" s="30" t="str">
        <v/>
      </c>
      <c r="N21" s="30">
        <v>0</v>
      </c>
      <c r="O21" s="31">
        <f>SUM(C21:N21)</f>
        <v>0</v>
      </c>
    </row>
    <row r="22" ht="36" customHeight="1">
      <c r="A22" s="32" t="str">
        <v>TOTAL AFFICHÉ</v>
      </c>
      <c r="B22" s="33" t="str">
        <v/>
      </c>
      <c r="C22" s="34">
        <f>SUBTOTAL(109,C5:C21)</f>
        <v>171</v>
      </c>
      <c r="D22" s="34">
        <f>SUBTOTAL(109,D5:D21)</f>
        <v>240.75</v>
      </c>
      <c r="E22" s="34">
        <f>SUBTOTAL(109,E5:E21)</f>
        <v>127</v>
      </c>
      <c r="F22" s="34">
        <f>SUBTOTAL(109,F5:F21)</f>
        <v>-5.25</v>
      </c>
      <c r="G22" s="34" t="str">
        <v/>
      </c>
      <c r="H22" s="34" t="str">
        <v/>
      </c>
      <c r="I22" s="34" t="str">
        <v/>
      </c>
      <c r="J22" s="34" t="str">
        <v/>
      </c>
      <c r="K22" s="34" t="str">
        <v/>
      </c>
      <c r="L22" s="34">
        <f>SUBTOTAL(109,L5:L21)</f>
        <v>485</v>
      </c>
      <c r="M22" s="34" t="str">
        <v/>
      </c>
      <c r="N22" s="34">
        <f>SUBTOTAL(109,N5:N21)</f>
        <v>38</v>
      </c>
      <c r="O22" s="34">
        <f>SUBTOTAL(109,O5:O21)</f>
        <v>1056.5</v>
      </c>
    </row>
  </sheetData>
  <autoFilter ref="A4:O21"/>
  <mergeCells count="7">
    <mergeCell ref="A1:O1"/>
    <mergeCell ref="A2:O2"/>
    <mergeCell ref="A3:O3"/>
    <mergeCell ref="A5:O5"/>
    <mergeCell ref="A10:O10"/>
    <mergeCell ref="A17:O17"/>
    <mergeCell ref="A22:B22"/>
  </mergeCells>
  <ignoredErrors>
    <ignoredError numberStoredAsText="1" sqref="A1:O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22.83203125" customWidth="1"/>
  </cols>
  <sheetData>
    <row r="1" ht="32" customHeight="1">
      <c r="A1" s="35" t="str">
        <v>Client</v>
      </c>
      <c r="B1" s="36" t="str">
        <v>Commission</v>
      </c>
    </row>
    <row r="2" ht="26" customHeight="1">
      <c r="A2" s="37" t="str">
        <v>Client fictif</v>
      </c>
      <c r="B2" s="38">
        <v>100</v>
      </c>
    </row>
    <row r="3" ht="26" customHeight="1">
      <c r="A3" s="39" t="str">
        <v>Client fictif</v>
      </c>
      <c r="B3" s="40">
        <v>150</v>
      </c>
    </row>
  </sheetData>
  <autoFilter ref="A1:B3"/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22.83203125" customWidth="1"/>
  </cols>
  <sheetData>
    <row r="1" ht="32" customHeight="1">
      <c r="A1" s="35" t="str">
        <v>Client</v>
      </c>
      <c r="B1" s="36" t="str">
        <v>Commission</v>
      </c>
    </row>
    <row r="2" ht="26" customHeight="1">
      <c r="A2" s="37" t="str">
        <v>Client fictif</v>
      </c>
      <c r="B2" s="38">
        <v>-15</v>
      </c>
    </row>
  </sheetData>
  <autoFilter ref="A1:B2"/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22.83203125" customWidth="1"/>
    <col min="2" max="2" width="22.83203125" customWidth="1"/>
  </cols>
  <sheetData>
    <row r="1" ht="32" customHeight="1">
      <c r="A1" s="35" t="str">
        <v>Client</v>
      </c>
      <c r="B1" s="36" t="str">
        <v>Commission</v>
      </c>
    </row>
    <row r="2" ht="26" customHeight="1">
      <c r="A2" s="37" t="str">
        <v>Client fictif</v>
      </c>
      <c r="B2" s="38">
        <v>250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Résumé (EXEMPLE Données fictive</vt:lpstr>
      <vt:lpstr>Suivi annuel</vt:lpstr>
      <vt:lpstr>Fournisseur Alpha</vt:lpstr>
      <vt:lpstr>Fournisseur Beta</vt:lpstr>
      <vt:lpstr>Fournisseur Gamma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