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 (CLAER Albane)" sheetId="1" r:id="rId1"/>
    <sheet name="Generali Patrimoine" sheetId="2" r:id="rId2"/>
    <sheet name="UAF Life" sheetId="3" r:id="rId3"/>
  </sheets>
  <definedNames>
    <definedName name="_xlnm._FilterDatabase" localSheetId="1">'Generali Patrimoine'!A1:AR28</definedName>
    <definedName name="_xlnm._FilterDatabase" localSheetId="2">'UAF Life'!A1:AE15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mmmm yyyy"/>
    <numFmt numFmtId="166" formatCode="#,##0.00\ &quot;€&quot;"/>
    <numFmt numFmtId="167" formatCode="#,##0.00\ &quot;€&quot;"/>
    <numFmt numFmtId="168" formatCode="#,##0.00\ &quot;€&quot;"/>
    <numFmt numFmtId="169" formatCode="#,##0.00\ &quot;€&quot;"/>
    <numFmt numFmtId="170" formatCode="#,##0.00\ &quot;€&quot;"/>
  </numFmts>
  <fonts count="22" x14ac:knownFonts="1">
    <font>
      <sz val="11"/>
      <name val="Calibri"/>
    </font>
    <font>
      <sz val="11"/>
      <name val="Calibri"/>
    </font>
    <font>
      <sz val="26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0"/>
      <name val="Arial"/>
      <b/>
      <color rgb="FFFFFFFF"/>
    </font>
    <font>
      <sz val="10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FFFFFF"/>
    </font>
    <font>
      <sz val="12"/>
      <name val="Arial"/>
      <b/>
      <color rgb="FFFFFFFF"/>
    </font>
    <font>
      <sz val="16"/>
      <name val="Arial"/>
      <b/>
      <color rgb="FFFFFFFF"/>
    </font>
    <font>
      <sz val="11"/>
      <name val="Arial"/>
      <b/>
      <color rgb="FFFFFFFF"/>
    </font>
    <font>
      <sz val="11"/>
      <name val="Arial"/>
      <b/>
      <color rgb="FFFFFFFF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indent="1" wrapText="true"/>
    </xf>
    <xf numFmtId="0" fontId="0" fillId="3" borderId="0" xfId="0" applyFill="1"/>
    <xf numFmtId="0" fontId="3" fillId="0" borderId="0" xfId="0" applyFont="1" applyAlignment="1">
      <alignment horizontal="left" vertical="center" indent="1" wrapText="true"/>
    </xf>
    <xf numFmtId="165" fontId="4" fillId="0" borderId="0" xfId="0" applyFont="1" applyNumberFormat="1" applyAlignment="1">
      <alignment horizontal="left" vertical="center" indent="1" wrapText="true"/>
    </xf>
    <xf numFmtId="0" fontId="5" fillId="4" borderId="0" xfId="0" applyFont="1" applyFill="1" applyAlignment="1">
      <alignment horizontal="left" vertical="center" indent="1" wrapText="true"/>
    </xf>
    <xf numFmtId="0" fontId="6" fillId="5" borderId="0" xfId="0" applyFont="1" applyFill="1" applyAlignment="1">
      <alignment horizontal="right" vertical="center" indent="1" wrapText="true"/>
    </xf>
    <xf numFmtId="0" fontId="7" fillId="6" borderId="2" xfId="0" applyFont="1" applyFill="1" applyBorder="1" applyAlignment="1">
      <alignment horizontal="left" vertical="center" indent="1" wrapText="true"/>
    </xf>
    <xf numFmtId="0" fontId="8" fillId="7" borderId="3" xfId="0" applyFont="1" applyFill="1" applyBorder="1" applyAlignment="1">
      <alignment horizontal="left" vertical="center" indent="1" wrapText="true"/>
    </xf>
    <xf numFmtId="166" fontId="9" fillId="8" borderId="4" xfId="0" applyFont="1" applyFill="1" applyBorder="1" applyNumberFormat="1" applyAlignment="1">
      <alignment horizontal="right" vertical="center" indent="1" wrapText="true"/>
    </xf>
    <xf numFmtId="0" fontId="10" fillId="9" borderId="5" xfId="0" applyFont="1" applyFill="1" applyBorder="1" applyAlignment="1">
      <alignment horizontal="left" vertical="center" indent="1" wrapText="true"/>
    </xf>
    <xf numFmtId="0" fontId="11" fillId="10" borderId="6" xfId="0" applyFont="1" applyFill="1" applyBorder="1" applyAlignment="1">
      <alignment horizontal="left" vertical="center" indent="1" wrapText="true"/>
    </xf>
    <xf numFmtId="167" fontId="12" fillId="11" borderId="7" xfId="0" applyFont="1" applyFill="1" applyBorder="1" applyNumberFormat="1" applyAlignment="1">
      <alignment horizontal="right" vertical="center" indent="1" wrapText="true"/>
    </xf>
    <xf numFmtId="168" fontId="13" fillId="12" borderId="0" xfId="0" applyFont="1" applyFill="1" applyNumberFormat="1" applyAlignment="1">
      <alignment horizontal="left" vertical="center" indent="1" wrapText="true"/>
    </xf>
    <xf numFmtId="169" fontId="14" fillId="13" borderId="0" xfId="0" applyFont="1" applyFill="1" applyNumberFormat="1" applyAlignment="1">
      <alignment horizontal="right" vertical="center" indent="1" wrapText="true"/>
    </xf>
    <xf numFmtId="170" fontId="15" fillId="14" borderId="0" xfId="0" applyFont="1" applyFill="1" applyNumberFormat="1" applyAlignment="1">
      <alignment horizontal="right" vertical="center" indent="1" wrapText="true"/>
    </xf>
    <xf numFmtId="0" fontId="16" fillId="15" borderId="8" xfId="0" applyFont="1" applyFill="1" applyBorder="1" applyAlignment="1">
      <alignment horizontal="left" vertical="center" indent="1" wrapText="true"/>
    </xf>
    <xf numFmtId="0" fontId="17" fillId="16" borderId="9" xfId="0" applyFont="1" applyFill="1" applyBorder="1" applyAlignment="1">
      <alignment horizontal="right" vertical="center" indent="1" wrapText="true"/>
    </xf>
    <xf numFmtId="0" fontId="18" fillId="17" borderId="10" xfId="0" applyFont="1" applyFill="1" applyBorder="1" applyAlignment="1">
      <alignment horizontal="left" vertical="center" indent="1" wrapText="true"/>
    </xf>
    <xf numFmtId="0" fontId="19" fillId="18" borderId="11" xfId="0" applyFont="1" applyFill="1" applyBorder="1" applyAlignment="1">
      <alignment horizontal="right" vertical="center" indent="1" wrapText="true"/>
    </xf>
    <xf numFmtId="0" fontId="20" fillId="19" borderId="12" xfId="0" applyFont="1" applyFill="1" applyBorder="1" applyAlignment="1">
      <alignment horizontal="left" vertical="center" indent="1" wrapText="true"/>
    </xf>
    <xf numFmtId="0" fontId="21" fillId="20" borderId="13" xfId="0" applyFont="1" applyFill="1" applyBorder="1" applyAlignment="1">
      <alignment horizontal="right" vertical="center" indent="1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5" topLeftCell="A6" activePane="bottomLeft" state="frozen"/>
      <selection pane="bottomLeft" activeCell="A6" sqref="A6"/>
    </sheetView>
  </sheetViews>
  <cols>
    <col min="1" max="1" width="30.83203125" customWidth="1"/>
    <col min="2" max="2" width="18.83203125" customWidth="1"/>
    <col min="3" max="3" width="20.83203125" customWidth="1"/>
    <col min="4" max="4" width="20.83203125" customWidth="1"/>
    <col min="5" max="5" width="22.83203125" customWidth="1"/>
  </cols>
  <sheetData>
    <row r="1" ht="46" customHeight="1">
      <c r="A1" s="3" t="str">
        <v>Commissions</v>
      </c>
      <c r="B1" s="4" t="str">
        <v/>
      </c>
      <c r="C1" s="4" t="str">
        <v/>
      </c>
      <c r="D1" s="4" t="str">
        <v/>
      </c>
      <c r="E1" s="4" t="str">
        <v/>
      </c>
    </row>
    <row r="2" ht="28" customHeight="1">
      <c r="A2" s="5" t="str">
        <v>CLAER Albane</v>
      </c>
    </row>
    <row r="3" ht="26" customHeight="1">
      <c r="A3" s="6">
        <v>46275</v>
      </c>
    </row>
    <row r="4" ht="24" customHeight="1">
      <c r="A4" s="7" t="str">
        <v>👤  FOURNISSEUR</v>
      </c>
      <c r="B4" s="7" t="str">
        <v>✎  NOTE</v>
      </c>
      <c r="C4" s="8" t="str">
        <v>€  COMMISSIONS HT</v>
      </c>
      <c r="D4" s="8" t="str">
        <v/>
      </c>
      <c r="E4" s="8" t="str">
        <v/>
      </c>
    </row>
    <row r="5" ht="28" customHeight="1">
      <c r="A5" s="7" t="str">
        <v/>
      </c>
      <c r="B5" s="7" t="str">
        <v/>
      </c>
      <c r="C5" s="8" t="str">
        <v>PRODUCTION</v>
      </c>
      <c r="D5" s="8" t="str">
        <v>ENCOURS</v>
      </c>
      <c r="E5" s="8" t="str">
        <v>TOTAL COM</v>
      </c>
    </row>
    <row r="6" ht="28" customHeight="1">
      <c r="A6" s="9" t="str">
        <v>Generali Patrimoine</v>
      </c>
      <c r="B6" s="10" t="str">
        <v/>
      </c>
      <c r="C6" s="11">
        <v>95.66</v>
      </c>
      <c r="D6" s="11">
        <v>276.79</v>
      </c>
      <c r="E6" s="11">
        <f>SUM(C6:D6)</f>
        <v>372.45</v>
      </c>
    </row>
    <row r="7" ht="28" customHeight="1">
      <c r="A7" s="12" t="str">
        <v>UAF Life</v>
      </c>
      <c r="B7" s="13" t="str">
        <v/>
      </c>
      <c r="C7" s="14">
        <v>18.5</v>
      </c>
      <c r="D7" s="14">
        <v>0</v>
      </c>
      <c r="E7" s="14">
        <f>SUM(C7:D7)</f>
        <v>18.5</v>
      </c>
    </row>
    <row r="8" ht="36" customHeight="1">
      <c r="A8" s="15" t="str">
        <v>TOTAL</v>
      </c>
      <c r="B8" s="15" t="str">
        <v/>
      </c>
      <c r="C8" s="16">
        <f>SUM(C6:C7)</f>
        <v>114.16</v>
      </c>
      <c r="D8" s="16">
        <f>SUM(D6:D7)</f>
        <v>276.79</v>
      </c>
      <c r="E8" s="17">
        <f>SUM(E6:E7)</f>
        <v>390.95</v>
      </c>
    </row>
  </sheetData>
  <mergeCells count="7">
    <mergeCell ref="A1:E1"/>
    <mergeCell ref="A2:E2"/>
    <mergeCell ref="A3:E3"/>
    <mergeCell ref="A8:B8"/>
    <mergeCell ref="A4:A5"/>
    <mergeCell ref="B4:B5"/>
    <mergeCell ref="C4:E4"/>
  </mergeCells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28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41.83203125" customWidth="1"/>
    <col min="2" max="2" width="24.83203125" customWidth="1"/>
    <col min="3" max="3" width="22.83203125" customWidth="1"/>
    <col min="4" max="4" width="39.83203125" customWidth="1"/>
    <col min="5" max="5" width="26.83203125" customWidth="1"/>
    <col min="6" max="6" width="25.83203125" customWidth="1"/>
    <col min="7" max="7" width="28.83203125" customWidth="1"/>
    <col min="8" max="8" width="33.83203125" customWidth="1"/>
    <col min="9" max="9" width="35.83203125" customWidth="1"/>
    <col min="10" max="10" width="22.83203125" customWidth="1"/>
    <col min="11" max="11" width="39.83203125" customWidth="1"/>
    <col min="12" max="12" width="48.83203125" customWidth="1"/>
    <col min="13" max="13" width="34.83203125" customWidth="1"/>
    <col min="14" max="14" width="48.83203125" customWidth="1"/>
    <col min="15" max="15" width="22.83203125" customWidth="1"/>
    <col min="16" max="16" width="33.83203125" customWidth="1"/>
    <col min="17" max="17" width="25.83203125" customWidth="1"/>
    <col min="18" max="18" width="29.83203125" customWidth="1"/>
    <col min="19" max="19" width="26.83203125" customWidth="1"/>
    <col min="20" max="20" width="29.83203125" customWidth="1"/>
    <col min="21" max="21" width="22.83203125" customWidth="1"/>
    <col min="22" max="22" width="23.83203125" customWidth="1"/>
    <col min="23" max="23" width="26.83203125" customWidth="1"/>
    <col min="24" max="24" width="27.83203125" customWidth="1"/>
    <col min="25" max="25" width="32.83203125" customWidth="1"/>
    <col min="26" max="26" width="30.83203125" customWidth="1"/>
    <col min="27" max="27" width="48.83203125" customWidth="1"/>
    <col min="28" max="28" width="25.83203125" customWidth="1"/>
    <col min="29" max="29" width="22.83203125" customWidth="1"/>
    <col min="30" max="30" width="39.83203125" customWidth="1"/>
    <col min="31" max="31" width="36.83203125" customWidth="1"/>
    <col min="32" max="32" width="48.83203125" customWidth="1"/>
    <col min="33" max="33" width="37.83203125" customWidth="1"/>
    <col min="34" max="34" width="26.83203125" customWidth="1"/>
    <col min="35" max="35" width="23.83203125" customWidth="1"/>
    <col min="36" max="36" width="28.83203125" customWidth="1"/>
    <col min="37" max="37" width="29.83203125" customWidth="1"/>
    <col min="38" max="38" width="25.83203125" customWidth="1"/>
    <col min="39" max="39" width="38.83203125" customWidth="1"/>
    <col min="40" max="40" width="33.83203125" customWidth="1"/>
    <col min="41" max="41" width="33.83203125" customWidth="1"/>
    <col min="42" max="42" width="22.83203125" customWidth="1"/>
    <col min="43" max="43" width="48.83203125" customWidth="1"/>
    <col min="44" max="44" width="27.83203125" customWidth="1"/>
  </cols>
  <sheetData>
    <row r="1" ht="40" customHeight="1">
      <c r="A1" s="18" t="str">
        <v>Référence du relevé de commission</v>
      </c>
      <c r="B1" s="18" t="str">
        <v>Numéro de relevé</v>
      </c>
      <c r="C1" s="19" t="str">
        <v>Date du relevé</v>
      </c>
      <c r="D1" s="18" t="str">
        <v>Code regroupement intermédiaire</v>
      </c>
      <c r="E1" s="18" t="str">
        <v>Code intermédiaire</v>
      </c>
      <c r="F1" s="18" t="str">
        <v>Code portefeuille</v>
      </c>
      <c r="G1" s="18" t="str">
        <v>Libellé portefeuille</v>
      </c>
      <c r="H1" s="18" t="str">
        <v>Code portefeuille externe</v>
      </c>
      <c r="I1" s="18" t="str">
        <v>Libellé famille commerciale</v>
      </c>
      <c r="J1" s="18" t="str">
        <v>Code produit</v>
      </c>
      <c r="K1" s="18" t="str">
        <v>Libellé du produit</v>
      </c>
      <c r="L1" s="18" t="str">
        <v>Nature de l opération</v>
      </c>
      <c r="M1" s="18" t="str">
        <v>Libellé type de prime</v>
      </c>
      <c r="N1" s="18" t="str">
        <v>Numéro de contrat ou numéro de convention</v>
      </c>
      <c r="O1" s="18" t="str">
        <v>Raison sociale</v>
      </c>
      <c r="P1" s="18" t="str">
        <v>Numéro de contrat affilié</v>
      </c>
      <c r="Q1" s="18" t="str">
        <v>Référence externe</v>
      </c>
      <c r="R1" s="18" t="str">
        <v>Numéro de contractant</v>
      </c>
      <c r="S1" s="18" t="str">
        <v>Nom du contractant</v>
      </c>
      <c r="T1" s="18" t="str">
        <v>Prénom du contractant</v>
      </c>
      <c r="U1" s="18" t="str">
        <v>Numéro assuré</v>
      </c>
      <c r="V1" s="18" t="str">
        <v>Nom de l assuré</v>
      </c>
      <c r="W1" s="18" t="str">
        <v>Prénom de l assuré</v>
      </c>
      <c r="X1" s="18" t="str">
        <v>Date de l opération</v>
      </c>
      <c r="Y1" s="18" t="str">
        <v>Date de début de période</v>
      </c>
      <c r="Z1" s="18" t="str">
        <v>Date de fin de période</v>
      </c>
      <c r="AA1" s="18" t="str">
        <v>Libellé garantie</v>
      </c>
      <c r="AB1" s="18" t="str">
        <v>Nature du support</v>
      </c>
      <c r="AC1" s="18" t="str">
        <v>Code ISIN</v>
      </c>
      <c r="AD1" s="18" t="str">
        <v>Libellé du support</v>
      </c>
      <c r="AE1" s="19" t="str">
        <v>Montant de la cotisation TTC</v>
      </c>
      <c r="AF1" s="19" t="str">
        <v>Montant cotisation HT ou net investi en épargne</v>
      </c>
      <c r="AG1" s="19" t="str">
        <v>Assiette du cas de commission</v>
      </c>
      <c r="AH1" s="19" t="str">
        <v>Taux de commission</v>
      </c>
      <c r="AI1" s="18" t="str">
        <v>Type de montant</v>
      </c>
      <c r="AJ1" s="18" t="str">
        <v>Nature de commission</v>
      </c>
      <c r="AK1" s="19" t="str">
        <v>Montant de commission</v>
      </c>
      <c r="AL1" s="18" t="str">
        <v>Devise du montant</v>
      </c>
      <c r="AM1" s="18" t="str">
        <v>Qualification de la commission</v>
      </c>
      <c r="AN1" s="18" t="str">
        <v>Conformité administrative</v>
      </c>
      <c r="AO1" s="18" t="str">
        <v>Transfert de portefeuille</v>
      </c>
      <c r="AP1" s="18" t="str">
        <v>Code option</v>
      </c>
      <c r="AQ1" s="18" t="str">
        <v>Complément d informations</v>
      </c>
      <c r="AR1" s="18" t="str">
        <v>Compagnie juridique</v>
      </c>
    </row>
    <row r="2" ht="40" customHeight="1">
      <c r="A2" s="20" t="str">
        <v xml:space="preserve">004797058 </v>
      </c>
      <c r="B2" s="20" t="str">
        <v>004016652</v>
      </c>
      <c r="C2" s="21">
        <v>20260904</v>
      </c>
      <c r="D2" s="20" t="str">
        <v>96531A</v>
      </c>
      <c r="E2" s="20" t="str">
        <v>13213B</v>
      </c>
      <c r="F2" s="20" t="str">
        <v>C10228</v>
      </c>
      <c r="G2" s="20" t="str">
        <v xml:space="preserve">ATELIER OPTIMUM </v>
      </c>
      <c r="H2" s="20" t="str">
        <v xml:space="preserve">30C10228 </v>
      </c>
      <c r="I2" s="20" t="str">
        <v xml:space="preserve"> </v>
      </c>
      <c r="J2" s="20" t="str">
        <v xml:space="preserve"> </v>
      </c>
      <c r="K2" s="20" t="str">
        <v xml:space="preserve"> </v>
      </c>
      <c r="L2" s="20" t="str">
        <v xml:space="preserve">ENC11 - AVANCE COMMISSION SUR ENCOURS EUR </v>
      </c>
      <c r="M2" s="20" t="str">
        <v xml:space="preserve">AVANCE SUR ENCOURS </v>
      </c>
      <c r="N2" s="20" t="str">
        <v xml:space="preserve"> </v>
      </c>
      <c r="O2" s="20" t="str">
        <v xml:space="preserve"> </v>
      </c>
      <c r="P2" s="20" t="str">
        <v xml:space="preserve"> </v>
      </c>
      <c r="Q2" s="20" t="str">
        <v xml:space="preserve"> </v>
      </c>
      <c r="R2" s="20" t="str">
        <v xml:space="preserve"> </v>
      </c>
      <c r="S2" s="20" t="str">
        <v xml:space="preserve"> </v>
      </c>
      <c r="T2" s="20" t="str">
        <v xml:space="preserve"> </v>
      </c>
      <c r="U2" s="20" t="str">
        <v xml:space="preserve"> </v>
      </c>
      <c r="V2" s="20" t="str">
        <v xml:space="preserve"> </v>
      </c>
      <c r="W2" s="20" t="str">
        <v xml:space="preserve"> </v>
      </c>
      <c r="X2" s="20" t="str">
        <v xml:space="preserve"> </v>
      </c>
      <c r="Y2" s="20" t="str">
        <v>01.08.2026</v>
      </c>
      <c r="Z2" s="20" t="str">
        <v>31.08.2026</v>
      </c>
      <c r="AA2" s="20" t="str">
        <v xml:space="preserve">Epargne GB(Assurance vie, BVE, Capi, TAP) </v>
      </c>
      <c r="AB2" s="20" t="str">
        <v xml:space="preserve"> </v>
      </c>
      <c r="AC2" s="20" t="str">
        <v xml:space="preserve"> </v>
      </c>
      <c r="AD2" s="20" t="str">
        <v xml:space="preserve"> </v>
      </c>
      <c r="AE2" s="21">
        <v>0</v>
      </c>
      <c r="AF2" s="21">
        <v>0</v>
      </c>
      <c r="AG2" s="21">
        <v>0</v>
      </c>
      <c r="AH2" s="21">
        <v>0</v>
      </c>
      <c r="AI2" s="20" t="str">
        <v>Calculée</v>
      </c>
      <c r="AJ2" s="20" t="str">
        <v xml:space="preserve">Crédit </v>
      </c>
      <c r="AK2" s="21">
        <v>276.79</v>
      </c>
      <c r="AL2" s="20" t="str">
        <v>EUR</v>
      </c>
      <c r="AM2" s="20" t="str">
        <v>Intermediation</v>
      </c>
      <c r="AN2" s="20" t="str">
        <v>Oui</v>
      </c>
      <c r="AO2" s="20" t="str">
        <v>Non</v>
      </c>
      <c r="AP2" s="20" t="str">
        <v xml:space="preserve"> </v>
      </c>
      <c r="AQ2" s="20" t="str">
        <v xml:space="preserve">GESTION DEDIEE PART COURTIER 2026 T2 - GENERALI WEALTH SERVICES </v>
      </c>
      <c r="AR2" s="20" t="str">
        <v xml:space="preserve">GENERALI VIE </v>
      </c>
    </row>
    <row r="3" ht="40" customHeight="1">
      <c r="A3" s="22" t="str">
        <v xml:space="preserve">004797058 </v>
      </c>
      <c r="B3" s="22" t="str">
        <v>004016652</v>
      </c>
      <c r="C3" s="23">
        <v>20260904</v>
      </c>
      <c r="D3" s="22" t="str">
        <v>96531A</v>
      </c>
      <c r="E3" s="22" t="str">
        <v>13213B</v>
      </c>
      <c r="F3" s="22" t="str">
        <v>C10228</v>
      </c>
      <c r="G3" s="22" t="str">
        <v xml:space="preserve">ATELIER OPTIMUM </v>
      </c>
      <c r="H3" s="22" t="str">
        <v xml:space="preserve">30C10228 </v>
      </c>
      <c r="I3" s="22" t="str">
        <v xml:space="preserve">Epargne </v>
      </c>
      <c r="J3" s="22">
        <v>9501</v>
      </c>
      <c r="K3" s="22" t="str">
        <v xml:space="preserve">ESPACE INVEST 5 </v>
      </c>
      <c r="L3" s="22" t="str">
        <v xml:space="preserve">COT21 - COM. VERSEMENT LIBRE PROGRAMME </v>
      </c>
      <c r="M3" s="22" t="str">
        <v xml:space="preserve">VERSEMENT LIBRE PROGRAMME </v>
      </c>
      <c r="N3" s="22" t="str">
        <v xml:space="preserve">95014760 </v>
      </c>
      <c r="O3" s="22" t="str">
        <v xml:space="preserve">PANDELIS </v>
      </c>
      <c r="P3" s="22" t="str">
        <v xml:space="preserve"> </v>
      </c>
      <c r="Q3" s="22" t="str">
        <v xml:space="preserve"> </v>
      </c>
      <c r="R3" s="22" t="str">
        <v>0005149910</v>
      </c>
      <c r="S3" s="22" t="str">
        <v xml:space="preserve">PANDELIS </v>
      </c>
      <c r="T3" s="22" t="str">
        <v xml:space="preserve">Valerie </v>
      </c>
      <c r="U3" s="22" t="str">
        <v xml:space="preserve">1009085904 </v>
      </c>
      <c r="V3" s="22" t="str">
        <v xml:space="preserve">PANDELIS </v>
      </c>
      <c r="W3" s="22" t="str">
        <v xml:space="preserve">Valerie </v>
      </c>
      <c r="X3" s="22" t="str">
        <v>25.08.2026</v>
      </c>
      <c r="Y3" s="22" t="str">
        <v>16.08.2026</v>
      </c>
      <c r="Z3" s="22" t="str">
        <v>15.09.2026</v>
      </c>
      <c r="AA3" s="22" t="str">
        <v xml:space="preserve">Epargne GB(Assurance vie, BVE, Capi, TAP) </v>
      </c>
      <c r="AB3" s="22" t="str">
        <v xml:space="preserve">UC </v>
      </c>
      <c r="AC3" s="22" t="str">
        <v>LU1244893696</v>
      </c>
      <c r="AD3" s="22" t="str">
        <v xml:space="preserve">EDR Fund Big Data A </v>
      </c>
      <c r="AE3" s="23">
        <v>0</v>
      </c>
      <c r="AF3" s="23">
        <v>0</v>
      </c>
      <c r="AG3" s="23">
        <v>100</v>
      </c>
      <c r="AH3" s="23">
        <v>4</v>
      </c>
      <c r="AI3" s="22" t="str">
        <v>Calculée</v>
      </c>
      <c r="AJ3" s="22" t="str">
        <v xml:space="preserve">Crédit </v>
      </c>
      <c r="AK3" s="23">
        <v>4</v>
      </c>
      <c r="AL3" s="22" t="str">
        <v>EUR</v>
      </c>
      <c r="AM3" s="22" t="str">
        <v>Intermediation</v>
      </c>
      <c r="AN3" s="22" t="str">
        <v>Oui</v>
      </c>
      <c r="AO3" s="22" t="str">
        <v>Non</v>
      </c>
      <c r="AP3" s="22" t="str">
        <v xml:space="preserve"> </v>
      </c>
      <c r="AQ3" s="22" t="str">
        <v xml:space="preserve">GESTION DEDIEE PART COURTIER 2026 T2 - GENERALI WEALTH SERVICES </v>
      </c>
      <c r="AR3" s="22" t="str">
        <v xml:space="preserve">GENERALI VIE </v>
      </c>
    </row>
    <row r="4" ht="40" customHeight="1">
      <c r="A4" s="20" t="str">
        <v xml:space="preserve">004797058 </v>
      </c>
      <c r="B4" s="20" t="str">
        <v>004016652</v>
      </c>
      <c r="C4" s="21">
        <v>20260904</v>
      </c>
      <c r="D4" s="20" t="str">
        <v>96531A</v>
      </c>
      <c r="E4" s="20" t="str">
        <v>13213B</v>
      </c>
      <c r="F4" s="20" t="str">
        <v>C10228</v>
      </c>
      <c r="G4" s="20" t="str">
        <v xml:space="preserve">ATELIER OPTIMUM </v>
      </c>
      <c r="H4" s="20" t="str">
        <v xml:space="preserve">30C10228 </v>
      </c>
      <c r="I4" s="20" t="str">
        <v xml:space="preserve">Epargne </v>
      </c>
      <c r="J4" s="20">
        <v>9501</v>
      </c>
      <c r="K4" s="20" t="str">
        <v xml:space="preserve">ESPACE INVEST 5 </v>
      </c>
      <c r="L4" s="20" t="str">
        <v xml:space="preserve">COT21 - COM. VERSEMENT LIBRE PROGRAMME </v>
      </c>
      <c r="M4" s="20" t="str">
        <v xml:space="preserve">VERSEMENT LIBRE PROGRAMME </v>
      </c>
      <c r="N4" s="20" t="str">
        <v xml:space="preserve">95014760 </v>
      </c>
      <c r="O4" s="20" t="str">
        <v xml:space="preserve">PANDELIS </v>
      </c>
      <c r="P4" s="20" t="str">
        <v xml:space="preserve"> </v>
      </c>
      <c r="Q4" s="20" t="str">
        <v xml:space="preserve"> </v>
      </c>
      <c r="R4" s="20" t="str">
        <v>0005149910</v>
      </c>
      <c r="S4" s="20" t="str">
        <v xml:space="preserve">PANDELIS </v>
      </c>
      <c r="T4" s="20" t="str">
        <v xml:space="preserve">Valerie </v>
      </c>
      <c r="U4" s="20" t="str">
        <v xml:space="preserve">1009085904 </v>
      </c>
      <c r="V4" s="20" t="str">
        <v xml:space="preserve">PANDELIS </v>
      </c>
      <c r="W4" s="20" t="str">
        <v xml:space="preserve">Valerie </v>
      </c>
      <c r="X4" s="20" t="str">
        <v>25.08.2026</v>
      </c>
      <c r="Y4" s="20" t="str">
        <v>16.08.2026</v>
      </c>
      <c r="Z4" s="20" t="str">
        <v>15.09.2026</v>
      </c>
      <c r="AA4" s="20" t="str">
        <v xml:space="preserve">Epargne GB(Assurance vie, BVE, Capi, TAP) </v>
      </c>
      <c r="AB4" s="20" t="str">
        <v xml:space="preserve">UC </v>
      </c>
      <c r="AC4" s="20" t="str">
        <v>LU0503631714</v>
      </c>
      <c r="AD4" s="20" t="str">
        <v xml:space="preserve">Pictet Global Envir Opps P </v>
      </c>
      <c r="AE4" s="21">
        <v>0</v>
      </c>
      <c r="AF4" s="21">
        <v>0</v>
      </c>
      <c r="AG4" s="21">
        <v>100</v>
      </c>
      <c r="AH4" s="21">
        <v>4</v>
      </c>
      <c r="AI4" s="20" t="str">
        <v>Calculée</v>
      </c>
      <c r="AJ4" s="20" t="str">
        <v xml:space="preserve">Crédit </v>
      </c>
      <c r="AK4" s="21">
        <v>4</v>
      </c>
      <c r="AL4" s="20" t="str">
        <v>EUR</v>
      </c>
      <c r="AM4" s="20" t="str">
        <v>Intermediation</v>
      </c>
      <c r="AN4" s="20" t="str">
        <v>Oui</v>
      </c>
      <c r="AO4" s="20" t="str">
        <v>Non</v>
      </c>
      <c r="AP4" s="20" t="str">
        <v xml:space="preserve"> </v>
      </c>
      <c r="AQ4" s="20" t="str">
        <v xml:space="preserve">GESTION DEDIEE PART COURTIER 2026 T2 - GENERALI WEALTH SERVICES </v>
      </c>
      <c r="AR4" s="20" t="str">
        <v xml:space="preserve">GENERALI VIE </v>
      </c>
    </row>
    <row r="5" ht="40" customHeight="1">
      <c r="A5" s="22" t="str">
        <v xml:space="preserve">004797058 </v>
      </c>
      <c r="B5" s="22" t="str">
        <v>004016652</v>
      </c>
      <c r="C5" s="23">
        <v>20260904</v>
      </c>
      <c r="D5" s="22" t="str">
        <v>96531A</v>
      </c>
      <c r="E5" s="22" t="str">
        <v>13213B</v>
      </c>
      <c r="F5" s="22" t="str">
        <v>C10228</v>
      </c>
      <c r="G5" s="22" t="str">
        <v xml:space="preserve">ATELIER OPTIMUM </v>
      </c>
      <c r="H5" s="22" t="str">
        <v xml:space="preserve">30C10228 </v>
      </c>
      <c r="I5" s="22" t="str">
        <v xml:space="preserve">Epargne </v>
      </c>
      <c r="J5" s="22">
        <v>9501</v>
      </c>
      <c r="K5" s="22" t="str">
        <v xml:space="preserve">ESPACE INVEST 5 </v>
      </c>
      <c r="L5" s="22" t="str">
        <v xml:space="preserve">COT21 - COM. VERSEMENT LIBRE PROGRAMME </v>
      </c>
      <c r="M5" s="22" t="str">
        <v xml:space="preserve">VERSEMENT LIBRE PROGRAMME </v>
      </c>
      <c r="N5" s="22" t="str">
        <v xml:space="preserve">95014760 </v>
      </c>
      <c r="O5" s="22" t="str">
        <v xml:space="preserve">PANDELIS </v>
      </c>
      <c r="P5" s="22" t="str">
        <v xml:space="preserve"> </v>
      </c>
      <c r="Q5" s="22" t="str">
        <v xml:space="preserve"> </v>
      </c>
      <c r="R5" s="22" t="str">
        <v>0005149910</v>
      </c>
      <c r="S5" s="22" t="str">
        <v xml:space="preserve">PANDELIS </v>
      </c>
      <c r="T5" s="22" t="str">
        <v xml:space="preserve">Valerie </v>
      </c>
      <c r="U5" s="22" t="str">
        <v xml:space="preserve">1009085904 </v>
      </c>
      <c r="V5" s="22" t="str">
        <v xml:space="preserve">PANDELIS </v>
      </c>
      <c r="W5" s="22" t="str">
        <v xml:space="preserve">Valerie </v>
      </c>
      <c r="X5" s="22" t="str">
        <v>25.08.2026</v>
      </c>
      <c r="Y5" s="22" t="str">
        <v>16.08.2026</v>
      </c>
      <c r="Z5" s="22" t="str">
        <v>15.09.2026</v>
      </c>
      <c r="AA5" s="22" t="str">
        <v xml:space="preserve">Epargne GB(Assurance vie, BVE, Capi, TAP) </v>
      </c>
      <c r="AB5" s="22" t="str">
        <v xml:space="preserve">UC </v>
      </c>
      <c r="AC5" s="22" t="str">
        <v>LU1819480192</v>
      </c>
      <c r="AD5" s="22" t="str">
        <v xml:space="preserve">ECHIQUIER Artificial Intel B </v>
      </c>
      <c r="AE5" s="23">
        <v>0</v>
      </c>
      <c r="AF5" s="23">
        <v>0</v>
      </c>
      <c r="AG5" s="23">
        <v>100</v>
      </c>
      <c r="AH5" s="23">
        <v>4</v>
      </c>
      <c r="AI5" s="22" t="str">
        <v>Calculée</v>
      </c>
      <c r="AJ5" s="22" t="str">
        <v xml:space="preserve">Crédit </v>
      </c>
      <c r="AK5" s="23">
        <v>4</v>
      </c>
      <c r="AL5" s="22" t="str">
        <v>EUR</v>
      </c>
      <c r="AM5" s="22" t="str">
        <v>Intermediation</v>
      </c>
      <c r="AN5" s="22" t="str">
        <v>Oui</v>
      </c>
      <c r="AO5" s="22" t="str">
        <v>Non</v>
      </c>
      <c r="AP5" s="22" t="str">
        <v xml:space="preserve"> </v>
      </c>
      <c r="AQ5" s="22" t="str">
        <v xml:space="preserve">GESTION DEDIEE PART COURTIER 2026 T2 - GENERALI WEALTH SERVICES </v>
      </c>
      <c r="AR5" s="22" t="str">
        <v xml:space="preserve">GENERALI VIE </v>
      </c>
    </row>
    <row r="6" ht="40" customHeight="1">
      <c r="A6" s="20" t="str">
        <v xml:space="preserve">004797058 </v>
      </c>
      <c r="B6" s="20" t="str">
        <v>004016652</v>
      </c>
      <c r="C6" s="21">
        <v>20260904</v>
      </c>
      <c r="D6" s="20" t="str">
        <v>96531A</v>
      </c>
      <c r="E6" s="20" t="str">
        <v>13213B</v>
      </c>
      <c r="F6" s="20" t="str">
        <v>C10228</v>
      </c>
      <c r="G6" s="20" t="str">
        <v xml:space="preserve">ATELIER OPTIMUM </v>
      </c>
      <c r="H6" s="20" t="str">
        <v xml:space="preserve">30C10228 </v>
      </c>
      <c r="I6" s="20" t="str">
        <v xml:space="preserve">Epargne </v>
      </c>
      <c r="J6" s="20">
        <v>9501</v>
      </c>
      <c r="K6" s="20" t="str">
        <v xml:space="preserve">ESPACE INVEST 5 </v>
      </c>
      <c r="L6" s="20" t="str">
        <v xml:space="preserve">COT21 - COM. VERSEMENT LIBRE PROGRAMME </v>
      </c>
      <c r="M6" s="20" t="str">
        <v xml:space="preserve">VERSEMENT LIBRE PROGRAMME </v>
      </c>
      <c r="N6" s="20" t="str">
        <v xml:space="preserve">95015797 </v>
      </c>
      <c r="O6" s="20" t="str">
        <v xml:space="preserve">LANCELOT </v>
      </c>
      <c r="P6" s="20" t="str">
        <v xml:space="preserve"> </v>
      </c>
      <c r="Q6" s="20" t="str">
        <v xml:space="preserve"> </v>
      </c>
      <c r="R6" s="20" t="str">
        <v>0005252342</v>
      </c>
      <c r="S6" s="20" t="str">
        <v xml:space="preserve">LANCELOT </v>
      </c>
      <c r="T6" s="20" t="str">
        <v xml:space="preserve">Renaud </v>
      </c>
      <c r="U6" s="20" t="str">
        <v xml:space="preserve">1009105310 </v>
      </c>
      <c r="V6" s="20" t="str">
        <v xml:space="preserve">LANCELOT </v>
      </c>
      <c r="W6" s="20" t="str">
        <v xml:space="preserve">Renaud </v>
      </c>
      <c r="X6" s="20" t="str">
        <v>06.08.2026</v>
      </c>
      <c r="Y6" s="20" t="str">
        <v>11.08.2026</v>
      </c>
      <c r="Z6" s="20" t="str">
        <v>10.09.2026</v>
      </c>
      <c r="AA6" s="20" t="str">
        <v xml:space="preserve">Epargne GB(Assurance vie, BVE, Capi, TAP) </v>
      </c>
      <c r="AB6" s="20" t="str">
        <v xml:space="preserve">UC </v>
      </c>
      <c r="AC6" s="20" t="str">
        <v>LU0197230542</v>
      </c>
      <c r="AD6" s="20" t="str">
        <v xml:space="preserve">FIDELITY India Focus Fd A Eur </v>
      </c>
      <c r="AE6" s="21">
        <v>0</v>
      </c>
      <c r="AF6" s="21">
        <v>0</v>
      </c>
      <c r="AG6" s="21">
        <v>100</v>
      </c>
      <c r="AH6" s="21">
        <v>2</v>
      </c>
      <c r="AI6" s="20" t="str">
        <v>Calculée</v>
      </c>
      <c r="AJ6" s="20" t="str">
        <v xml:space="preserve">Crédit </v>
      </c>
      <c r="AK6" s="21">
        <v>2</v>
      </c>
      <c r="AL6" s="20" t="str">
        <v>EUR</v>
      </c>
      <c r="AM6" s="20" t="str">
        <v>Intermediation</v>
      </c>
      <c r="AN6" s="20" t="str">
        <v>Oui</v>
      </c>
      <c r="AO6" s="20" t="str">
        <v>Non</v>
      </c>
      <c r="AP6" s="20" t="str">
        <v xml:space="preserve"> </v>
      </c>
      <c r="AQ6" s="20" t="str">
        <v xml:space="preserve">GESTION DEDIEE PART COURTIER 2026 T2 - GENERALI WEALTH SERVICES </v>
      </c>
      <c r="AR6" s="20" t="str">
        <v xml:space="preserve">GENERALI VIE </v>
      </c>
    </row>
    <row r="7" ht="40" customHeight="1">
      <c r="A7" s="22" t="str">
        <v xml:space="preserve">004797058 </v>
      </c>
      <c r="B7" s="22" t="str">
        <v>004016652</v>
      </c>
      <c r="C7" s="23">
        <v>20260904</v>
      </c>
      <c r="D7" s="22" t="str">
        <v>96531A</v>
      </c>
      <c r="E7" s="22" t="str">
        <v>13213B</v>
      </c>
      <c r="F7" s="22" t="str">
        <v>C10228</v>
      </c>
      <c r="G7" s="22" t="str">
        <v xml:space="preserve">ATELIER OPTIMUM </v>
      </c>
      <c r="H7" s="22" t="str">
        <v xml:space="preserve">30C10228 </v>
      </c>
      <c r="I7" s="22" t="str">
        <v xml:space="preserve">Epargne </v>
      </c>
      <c r="J7" s="22">
        <v>9501</v>
      </c>
      <c r="K7" s="22" t="str">
        <v xml:space="preserve">ESPACE INVEST 5 </v>
      </c>
      <c r="L7" s="22" t="str">
        <v xml:space="preserve">COT21 - COM. VERSEMENT LIBRE PROGRAMME </v>
      </c>
      <c r="M7" s="22" t="str">
        <v xml:space="preserve">VERSEMENT LIBRE PROGRAMME </v>
      </c>
      <c r="N7" s="22" t="str">
        <v xml:space="preserve">95015797 </v>
      </c>
      <c r="O7" s="22" t="str">
        <v xml:space="preserve">LANCELOT </v>
      </c>
      <c r="P7" s="22" t="str">
        <v xml:space="preserve"> </v>
      </c>
      <c r="Q7" s="22" t="str">
        <v xml:space="preserve"> </v>
      </c>
      <c r="R7" s="22" t="str">
        <v>0005252342</v>
      </c>
      <c r="S7" s="22" t="str">
        <v xml:space="preserve">LANCELOT </v>
      </c>
      <c r="T7" s="22" t="str">
        <v xml:space="preserve">Renaud </v>
      </c>
      <c r="U7" s="22" t="str">
        <v xml:space="preserve">1009105310 </v>
      </c>
      <c r="V7" s="22" t="str">
        <v xml:space="preserve">LANCELOT </v>
      </c>
      <c r="W7" s="22" t="str">
        <v xml:space="preserve">Renaud </v>
      </c>
      <c r="X7" s="22" t="str">
        <v>06.08.2026</v>
      </c>
      <c r="Y7" s="22" t="str">
        <v>11.08.2026</v>
      </c>
      <c r="Z7" s="22" t="str">
        <v>10.09.2026</v>
      </c>
      <c r="AA7" s="22" t="str">
        <v xml:space="preserve">Epargne GB(Assurance vie, BVE, Capi, TAP) </v>
      </c>
      <c r="AB7" s="22" t="str">
        <v xml:space="preserve">UC </v>
      </c>
      <c r="AC7" s="22" t="str">
        <v>LU0159052710</v>
      </c>
      <c r="AD7" s="22" t="str">
        <v xml:space="preserve">JPM Us Technology Fd A </v>
      </c>
      <c r="AE7" s="23">
        <v>0</v>
      </c>
      <c r="AF7" s="23">
        <v>0</v>
      </c>
      <c r="AG7" s="23">
        <v>100</v>
      </c>
      <c r="AH7" s="23">
        <v>2</v>
      </c>
      <c r="AI7" s="22" t="str">
        <v>Calculée</v>
      </c>
      <c r="AJ7" s="22" t="str">
        <v xml:space="preserve">Crédit </v>
      </c>
      <c r="AK7" s="23">
        <v>2</v>
      </c>
      <c r="AL7" s="22" t="str">
        <v>EUR</v>
      </c>
      <c r="AM7" s="22" t="str">
        <v>Intermediation</v>
      </c>
      <c r="AN7" s="22" t="str">
        <v>Oui</v>
      </c>
      <c r="AO7" s="22" t="str">
        <v>Non</v>
      </c>
      <c r="AP7" s="22" t="str">
        <v xml:space="preserve"> </v>
      </c>
      <c r="AQ7" s="22" t="str">
        <v xml:space="preserve">GESTION DEDIEE PART COURTIER 2026 T2 - GENERALI WEALTH SERVICES </v>
      </c>
      <c r="AR7" s="22" t="str">
        <v xml:space="preserve">GENERALI VIE </v>
      </c>
    </row>
    <row r="8" ht="40" customHeight="1">
      <c r="A8" s="20" t="str">
        <v xml:space="preserve">004797058 </v>
      </c>
      <c r="B8" s="20" t="str">
        <v>004016652</v>
      </c>
      <c r="C8" s="21">
        <v>20260904</v>
      </c>
      <c r="D8" s="20" t="str">
        <v>96531A</v>
      </c>
      <c r="E8" s="20" t="str">
        <v>13213B</v>
      </c>
      <c r="F8" s="20" t="str">
        <v>C10228</v>
      </c>
      <c r="G8" s="20" t="str">
        <v xml:space="preserve">ATELIER OPTIMUM </v>
      </c>
      <c r="H8" s="20" t="str">
        <v xml:space="preserve">30C10228 </v>
      </c>
      <c r="I8" s="20" t="str">
        <v xml:space="preserve">Epargne </v>
      </c>
      <c r="J8" s="20">
        <v>9501</v>
      </c>
      <c r="K8" s="20" t="str">
        <v xml:space="preserve">ESPACE INVEST 5 </v>
      </c>
      <c r="L8" s="20" t="str">
        <v xml:space="preserve">COT21 - COM. VERSEMENT LIBRE PROGRAMME </v>
      </c>
      <c r="M8" s="20" t="str">
        <v xml:space="preserve">VERSEMENT LIBRE PROGRAMME </v>
      </c>
      <c r="N8" s="20" t="str">
        <v xml:space="preserve">95110953 </v>
      </c>
      <c r="O8" s="20" t="str">
        <v xml:space="preserve">CHAO </v>
      </c>
      <c r="P8" s="20" t="str">
        <v xml:space="preserve"> </v>
      </c>
      <c r="Q8" s="20" t="str">
        <v xml:space="preserve"> </v>
      </c>
      <c r="R8" s="20" t="str">
        <v>0005684346</v>
      </c>
      <c r="S8" s="20" t="str">
        <v xml:space="preserve">CHAO </v>
      </c>
      <c r="T8" s="20" t="str">
        <v xml:space="preserve">Chon nam </v>
      </c>
      <c r="U8" s="20" t="str">
        <v xml:space="preserve">1011486042 </v>
      </c>
      <c r="V8" s="20" t="str">
        <v xml:space="preserve">CHAO </v>
      </c>
      <c r="W8" s="20" t="str">
        <v xml:space="preserve">Chon Nam </v>
      </c>
      <c r="X8" s="20" t="str">
        <v>10.08.2026</v>
      </c>
      <c r="Y8" s="20" t="str">
        <v>15.08.2026</v>
      </c>
      <c r="Z8" s="20" t="str">
        <v>14.09.2026</v>
      </c>
      <c r="AA8" s="20" t="str">
        <v xml:space="preserve">Epargne GB(Assurance vie, BVE, Capi, TAP) </v>
      </c>
      <c r="AB8" s="20" t="str">
        <v xml:space="preserve">UC </v>
      </c>
      <c r="AC8" s="20" t="str">
        <v>LU0503631714</v>
      </c>
      <c r="AD8" s="20" t="str">
        <v xml:space="preserve">Pictet Global Envir Opps P </v>
      </c>
      <c r="AE8" s="21">
        <v>0</v>
      </c>
      <c r="AF8" s="21">
        <v>0</v>
      </c>
      <c r="AG8" s="21">
        <v>100</v>
      </c>
      <c r="AH8" s="21">
        <v>3.5</v>
      </c>
      <c r="AI8" s="20" t="str">
        <v>Calculée</v>
      </c>
      <c r="AJ8" s="20" t="str">
        <v xml:space="preserve">Crédit </v>
      </c>
      <c r="AK8" s="21">
        <v>3.5</v>
      </c>
      <c r="AL8" s="20" t="str">
        <v>EUR</v>
      </c>
      <c r="AM8" s="20" t="str">
        <v>Intermediation</v>
      </c>
      <c r="AN8" s="20" t="str">
        <v>Oui</v>
      </c>
      <c r="AO8" s="20" t="str">
        <v>Non</v>
      </c>
      <c r="AP8" s="20" t="str">
        <v xml:space="preserve"> </v>
      </c>
      <c r="AQ8" s="20" t="str">
        <v xml:space="preserve">GESTION DEDIEE PART COURTIER 2026 T2 - GENERALI WEALTH SERVICES </v>
      </c>
      <c r="AR8" s="20" t="str">
        <v xml:space="preserve">GENERALI VIE </v>
      </c>
    </row>
    <row r="9" ht="40" customHeight="1">
      <c r="A9" s="22" t="str">
        <v xml:space="preserve">004797058 </v>
      </c>
      <c r="B9" s="22" t="str">
        <v>004016652</v>
      </c>
      <c r="C9" s="23">
        <v>20260904</v>
      </c>
      <c r="D9" s="22" t="str">
        <v>96531A</v>
      </c>
      <c r="E9" s="22" t="str">
        <v>13213B</v>
      </c>
      <c r="F9" s="22" t="str">
        <v>C10228</v>
      </c>
      <c r="G9" s="22" t="str">
        <v xml:space="preserve">ATELIER OPTIMUM </v>
      </c>
      <c r="H9" s="22" t="str">
        <v xml:space="preserve">30C10228 </v>
      </c>
      <c r="I9" s="22" t="str">
        <v xml:space="preserve">Epargne </v>
      </c>
      <c r="J9" s="22">
        <v>9501</v>
      </c>
      <c r="K9" s="22" t="str">
        <v xml:space="preserve">ESPACE INVEST 5 </v>
      </c>
      <c r="L9" s="22" t="str">
        <v xml:space="preserve">COT21 - COM. VERSEMENT LIBRE PROGRAMME </v>
      </c>
      <c r="M9" s="22" t="str">
        <v xml:space="preserve">VERSEMENT LIBRE PROGRAMME </v>
      </c>
      <c r="N9" s="22" t="str">
        <v xml:space="preserve">95110953 </v>
      </c>
      <c r="O9" s="22" t="str">
        <v xml:space="preserve">CHAO </v>
      </c>
      <c r="P9" s="22" t="str">
        <v xml:space="preserve"> </v>
      </c>
      <c r="Q9" s="22" t="str">
        <v xml:space="preserve"> </v>
      </c>
      <c r="R9" s="22" t="str">
        <v>0005684346</v>
      </c>
      <c r="S9" s="22" t="str">
        <v xml:space="preserve">CHAO </v>
      </c>
      <c r="T9" s="22" t="str">
        <v xml:space="preserve">Chon nam </v>
      </c>
      <c r="U9" s="22" t="str">
        <v xml:space="preserve">1011486042 </v>
      </c>
      <c r="V9" s="22" t="str">
        <v xml:space="preserve">CHAO </v>
      </c>
      <c r="W9" s="22" t="str">
        <v xml:space="preserve">Chon Nam </v>
      </c>
      <c r="X9" s="22" t="str">
        <v>10.08.2026</v>
      </c>
      <c r="Y9" s="22" t="str">
        <v>15.08.2026</v>
      </c>
      <c r="Z9" s="22" t="str">
        <v>14.09.2026</v>
      </c>
      <c r="AA9" s="22" t="str">
        <v xml:space="preserve">Epargne GB(Assurance vie, BVE, Capi, TAP) </v>
      </c>
      <c r="AB9" s="22" t="str">
        <v xml:space="preserve">UC </v>
      </c>
      <c r="AC9" s="22" t="str">
        <v>FR0010859769</v>
      </c>
      <c r="AD9" s="22" t="str">
        <v xml:space="preserve">ECHIQUIER World Eq Growth A </v>
      </c>
      <c r="AE9" s="23">
        <v>0</v>
      </c>
      <c r="AF9" s="23">
        <v>0</v>
      </c>
      <c r="AG9" s="23">
        <v>100</v>
      </c>
      <c r="AH9" s="23">
        <v>3.5</v>
      </c>
      <c r="AI9" s="22" t="str">
        <v>Calculée</v>
      </c>
      <c r="AJ9" s="22" t="str">
        <v xml:space="preserve">Crédit </v>
      </c>
      <c r="AK9" s="23">
        <v>3.5</v>
      </c>
      <c r="AL9" s="22" t="str">
        <v>EUR</v>
      </c>
      <c r="AM9" s="22" t="str">
        <v>Intermediation</v>
      </c>
      <c r="AN9" s="22" t="str">
        <v>Oui</v>
      </c>
      <c r="AO9" s="22" t="str">
        <v>Non</v>
      </c>
      <c r="AP9" s="22" t="str">
        <v xml:space="preserve"> </v>
      </c>
      <c r="AQ9" s="22" t="str">
        <v xml:space="preserve">GESTION DEDIEE PART COURTIER 2026 T2 - GENERALI WEALTH SERVICES </v>
      </c>
      <c r="AR9" s="22" t="str">
        <v xml:space="preserve">GENERALI VIE </v>
      </c>
    </row>
    <row r="10" ht="40" customHeight="1">
      <c r="A10" s="20" t="str">
        <v xml:space="preserve">004797058 </v>
      </c>
      <c r="B10" s="20" t="str">
        <v>004016652</v>
      </c>
      <c r="C10" s="21">
        <v>20260904</v>
      </c>
      <c r="D10" s="20" t="str">
        <v>96531A</v>
      </c>
      <c r="E10" s="20" t="str">
        <v>13213B</v>
      </c>
      <c r="F10" s="20" t="str">
        <v>C10228</v>
      </c>
      <c r="G10" s="20" t="str">
        <v xml:space="preserve">ATELIER OPTIMUM </v>
      </c>
      <c r="H10" s="20" t="str">
        <v xml:space="preserve">30C10228 </v>
      </c>
      <c r="I10" s="20" t="str">
        <v xml:space="preserve">Epargne </v>
      </c>
      <c r="J10" s="20">
        <v>9501</v>
      </c>
      <c r="K10" s="20" t="str">
        <v xml:space="preserve">ESPACE INVEST 5 </v>
      </c>
      <c r="L10" s="20" t="str">
        <v xml:space="preserve">COT21 - COM. VERSEMENT LIBRE PROGRAMME </v>
      </c>
      <c r="M10" s="20" t="str">
        <v xml:space="preserve">VERSEMENT LIBRE PROGRAMME </v>
      </c>
      <c r="N10" s="20" t="str">
        <v xml:space="preserve">95110953 </v>
      </c>
      <c r="O10" s="20" t="str">
        <v xml:space="preserve">CHAO </v>
      </c>
      <c r="P10" s="20" t="str">
        <v xml:space="preserve"> </v>
      </c>
      <c r="Q10" s="20" t="str">
        <v xml:space="preserve"> </v>
      </c>
      <c r="R10" s="20" t="str">
        <v>0005684346</v>
      </c>
      <c r="S10" s="20" t="str">
        <v xml:space="preserve">CHAO </v>
      </c>
      <c r="T10" s="20" t="str">
        <v xml:space="preserve">Chon nam </v>
      </c>
      <c r="U10" s="20" t="str">
        <v xml:space="preserve">1011486042 </v>
      </c>
      <c r="V10" s="20" t="str">
        <v xml:space="preserve">CHAO </v>
      </c>
      <c r="W10" s="20" t="str">
        <v xml:space="preserve">Chon Nam </v>
      </c>
      <c r="X10" s="20" t="str">
        <v>10.08.2026</v>
      </c>
      <c r="Y10" s="20" t="str">
        <v>15.08.2026</v>
      </c>
      <c r="Z10" s="20" t="str">
        <v>14.09.2026</v>
      </c>
      <c r="AA10" s="20" t="str">
        <v xml:space="preserve">Epargne GB(Assurance vie, BVE, Capi, TAP) </v>
      </c>
      <c r="AB10" s="20" t="str">
        <v xml:space="preserve">UC </v>
      </c>
      <c r="AC10" s="20" t="str">
        <v>LU1819480192</v>
      </c>
      <c r="AD10" s="20" t="str">
        <v xml:space="preserve">ECHIQUIER Artificial Intel B </v>
      </c>
      <c r="AE10" s="21">
        <v>0</v>
      </c>
      <c r="AF10" s="21">
        <v>0</v>
      </c>
      <c r="AG10" s="21">
        <v>100</v>
      </c>
      <c r="AH10" s="21">
        <v>3.5</v>
      </c>
      <c r="AI10" s="20" t="str">
        <v>Calculée</v>
      </c>
      <c r="AJ10" s="20" t="str">
        <v xml:space="preserve">Crédit </v>
      </c>
      <c r="AK10" s="21">
        <v>3.5</v>
      </c>
      <c r="AL10" s="20" t="str">
        <v>EUR</v>
      </c>
      <c r="AM10" s="20" t="str">
        <v>Intermediation</v>
      </c>
      <c r="AN10" s="20" t="str">
        <v>Oui</v>
      </c>
      <c r="AO10" s="20" t="str">
        <v>Non</v>
      </c>
      <c r="AP10" s="20" t="str">
        <v xml:space="preserve"> </v>
      </c>
      <c r="AQ10" s="20" t="str">
        <v xml:space="preserve">GESTION DEDIEE PART COURTIER 2026 T2 - GENERALI WEALTH SERVICES </v>
      </c>
      <c r="AR10" s="20" t="str">
        <v xml:space="preserve">GENERALI VIE </v>
      </c>
    </row>
    <row r="11" ht="40" customHeight="1">
      <c r="A11" s="22" t="str">
        <v xml:space="preserve">004797058 </v>
      </c>
      <c r="B11" s="22" t="str">
        <v>004016652</v>
      </c>
      <c r="C11" s="23">
        <v>20260904</v>
      </c>
      <c r="D11" s="22" t="str">
        <v>96531A</v>
      </c>
      <c r="E11" s="22" t="str">
        <v>13213B</v>
      </c>
      <c r="F11" s="22" t="str">
        <v>C10228</v>
      </c>
      <c r="G11" s="22" t="str">
        <v xml:space="preserve">ATELIER OPTIMUM </v>
      </c>
      <c r="H11" s="22" t="str">
        <v xml:space="preserve">30C10228 </v>
      </c>
      <c r="I11" s="22" t="str">
        <v xml:space="preserve">Epargne </v>
      </c>
      <c r="J11" s="22">
        <v>9501</v>
      </c>
      <c r="K11" s="22" t="str">
        <v xml:space="preserve">ESPACE INVEST 5 </v>
      </c>
      <c r="L11" s="22" t="str">
        <v xml:space="preserve">COT21 - COM. VERSEMENT LIBRE PROGRAMME </v>
      </c>
      <c r="M11" s="22" t="str">
        <v xml:space="preserve">VERSEMENT LIBRE PROGRAMME </v>
      </c>
      <c r="N11" s="22" t="str">
        <v xml:space="preserve">95113756 </v>
      </c>
      <c r="O11" s="22" t="str">
        <v xml:space="preserve">BARBANCEYS </v>
      </c>
      <c r="P11" s="22" t="str">
        <v xml:space="preserve"> </v>
      </c>
      <c r="Q11" s="22" t="str">
        <v xml:space="preserve"> </v>
      </c>
      <c r="R11" s="22" t="str">
        <v>0006207989</v>
      </c>
      <c r="S11" s="22" t="str">
        <v xml:space="preserve">BARBANCEYS </v>
      </c>
      <c r="T11" s="22" t="str">
        <v xml:space="preserve">Dominique </v>
      </c>
      <c r="U11" s="22" t="str">
        <v xml:space="preserve">1008886287 </v>
      </c>
      <c r="V11" s="22" t="str">
        <v xml:space="preserve">BARBANCEYS </v>
      </c>
      <c r="W11" s="22" t="str">
        <v xml:space="preserve">Dominique </v>
      </c>
      <c r="X11" s="22" t="str">
        <v>25.08.2026</v>
      </c>
      <c r="Y11" s="22" t="str">
        <v>16.08.2026</v>
      </c>
      <c r="Z11" s="22" t="str">
        <v>15.09.2026</v>
      </c>
      <c r="AA11" s="22" t="str">
        <v xml:space="preserve">Epargne GB(Assurance vie, BVE, Capi, TAP) </v>
      </c>
      <c r="AB11" s="22" t="str">
        <v xml:space="preserve">UC </v>
      </c>
      <c r="AC11" s="22" t="str">
        <v>LU1244893696</v>
      </c>
      <c r="AD11" s="22" t="str">
        <v xml:space="preserve">EDR Fund Big Data A </v>
      </c>
      <c r="AE11" s="23">
        <v>0</v>
      </c>
      <c r="AF11" s="23">
        <v>0</v>
      </c>
      <c r="AG11" s="23">
        <v>150</v>
      </c>
      <c r="AH11" s="23">
        <v>4</v>
      </c>
      <c r="AI11" s="22" t="str">
        <v>Calculée</v>
      </c>
      <c r="AJ11" s="22" t="str">
        <v xml:space="preserve">Crédit </v>
      </c>
      <c r="AK11" s="23">
        <v>6</v>
      </c>
      <c r="AL11" s="22" t="str">
        <v>EUR</v>
      </c>
      <c r="AM11" s="22" t="str">
        <v>Intermediation</v>
      </c>
      <c r="AN11" s="22" t="str">
        <v>Oui</v>
      </c>
      <c r="AO11" s="22" t="str">
        <v>Non</v>
      </c>
      <c r="AP11" s="22" t="str">
        <v xml:space="preserve"> </v>
      </c>
      <c r="AQ11" s="22" t="str">
        <v xml:space="preserve">GESTION DEDIEE PART COURTIER 2026 T2 - GENERALI WEALTH SERVICES </v>
      </c>
      <c r="AR11" s="22" t="str">
        <v xml:space="preserve">GENERALI VIE </v>
      </c>
    </row>
    <row r="12" ht="40" customHeight="1">
      <c r="A12" s="20" t="str">
        <v xml:space="preserve">004797058 </v>
      </c>
      <c r="B12" s="20" t="str">
        <v>004016652</v>
      </c>
      <c r="C12" s="21">
        <v>20260904</v>
      </c>
      <c r="D12" s="20" t="str">
        <v>96531A</v>
      </c>
      <c r="E12" s="20" t="str">
        <v>13213B</v>
      </c>
      <c r="F12" s="20" t="str">
        <v>C10228</v>
      </c>
      <c r="G12" s="20" t="str">
        <v xml:space="preserve">ATELIER OPTIMUM </v>
      </c>
      <c r="H12" s="20" t="str">
        <v xml:space="preserve">30C10228 </v>
      </c>
      <c r="I12" s="20" t="str">
        <v xml:space="preserve">Epargne </v>
      </c>
      <c r="J12" s="20">
        <v>9501</v>
      </c>
      <c r="K12" s="20" t="str">
        <v xml:space="preserve">ESPACE INVEST 5 </v>
      </c>
      <c r="L12" s="20" t="str">
        <v xml:space="preserve">COT21 - COM. VERSEMENT LIBRE PROGRAMME </v>
      </c>
      <c r="M12" s="20" t="str">
        <v xml:space="preserve">VERSEMENT LIBRE PROGRAMME </v>
      </c>
      <c r="N12" s="20" t="str">
        <v xml:space="preserve">95210583 </v>
      </c>
      <c r="O12" s="20" t="str">
        <v xml:space="preserve">CROENNE </v>
      </c>
      <c r="P12" s="20" t="str">
        <v xml:space="preserve"> </v>
      </c>
      <c r="Q12" s="20" t="str">
        <v xml:space="preserve"> </v>
      </c>
      <c r="R12" s="20" t="str">
        <v>1009510207</v>
      </c>
      <c r="S12" s="20" t="str">
        <v xml:space="preserve">CROENNE </v>
      </c>
      <c r="T12" s="20" t="str">
        <v xml:space="preserve">NoÍmie </v>
      </c>
      <c r="U12" s="20" t="str">
        <v xml:space="preserve">1009510207 </v>
      </c>
      <c r="V12" s="20" t="str">
        <v xml:space="preserve">CROENNE </v>
      </c>
      <c r="W12" s="20" t="str">
        <v xml:space="preserve">NoÍmie </v>
      </c>
      <c r="X12" s="20" t="str">
        <v>25.08.2026</v>
      </c>
      <c r="Y12" s="20" t="str">
        <v>16.08.2026</v>
      </c>
      <c r="Z12" s="20" t="str">
        <v>15.09.2026</v>
      </c>
      <c r="AA12" s="20" t="str">
        <v xml:space="preserve">Epargne GB(Assurance vie, BVE, Capi, TAP) </v>
      </c>
      <c r="AB12" s="20" t="str">
        <v xml:space="preserve">UC </v>
      </c>
      <c r="AC12" s="20" t="str">
        <v>LU0104884860</v>
      </c>
      <c r="AD12" s="20" t="str">
        <v xml:space="preserve">PICTET Water P Eur </v>
      </c>
      <c r="AE12" s="21">
        <v>0</v>
      </c>
      <c r="AF12" s="21">
        <v>0</v>
      </c>
      <c r="AG12" s="21">
        <v>100</v>
      </c>
      <c r="AH12" s="21">
        <v>4</v>
      </c>
      <c r="AI12" s="20" t="str">
        <v>Calculée</v>
      </c>
      <c r="AJ12" s="20" t="str">
        <v xml:space="preserve">Crédit </v>
      </c>
      <c r="AK12" s="21">
        <v>4</v>
      </c>
      <c r="AL12" s="20" t="str">
        <v>EUR</v>
      </c>
      <c r="AM12" s="20" t="str">
        <v>Intermediation</v>
      </c>
      <c r="AN12" s="20" t="str">
        <v>Oui</v>
      </c>
      <c r="AO12" s="20" t="str">
        <v>Non</v>
      </c>
      <c r="AP12" s="20" t="str">
        <v xml:space="preserve"> </v>
      </c>
      <c r="AQ12" s="20" t="str">
        <v xml:space="preserve">GESTION DEDIEE PART COURTIER 2026 T2 - GENERALI WEALTH SERVICES </v>
      </c>
      <c r="AR12" s="20" t="str">
        <v xml:space="preserve">GENERALI VIE </v>
      </c>
    </row>
    <row r="13" ht="40" customHeight="1">
      <c r="A13" s="22" t="str">
        <v xml:space="preserve">004797058 </v>
      </c>
      <c r="B13" s="22" t="str">
        <v>004016652</v>
      </c>
      <c r="C13" s="23">
        <v>20260904</v>
      </c>
      <c r="D13" s="22" t="str">
        <v>96531A</v>
      </c>
      <c r="E13" s="22" t="str">
        <v>13213B</v>
      </c>
      <c r="F13" s="22" t="str">
        <v>C10228</v>
      </c>
      <c r="G13" s="22" t="str">
        <v xml:space="preserve">ATELIER OPTIMUM </v>
      </c>
      <c r="H13" s="22" t="str">
        <v xml:space="preserve">30C10228 </v>
      </c>
      <c r="I13" s="22" t="str">
        <v xml:space="preserve">Epargne </v>
      </c>
      <c r="J13" s="22">
        <v>9501</v>
      </c>
      <c r="K13" s="22" t="str">
        <v xml:space="preserve">ESPACE INVEST 5 </v>
      </c>
      <c r="L13" s="22" t="str">
        <v xml:space="preserve">COT21 - COM. VERSEMENT LIBRE PROGRAMME </v>
      </c>
      <c r="M13" s="22" t="str">
        <v xml:space="preserve">VERSEMENT LIBRE PROGRAMME </v>
      </c>
      <c r="N13" s="22" t="str">
        <v xml:space="preserve">95210583 </v>
      </c>
      <c r="O13" s="22" t="str">
        <v xml:space="preserve">CROENNE </v>
      </c>
      <c r="P13" s="22" t="str">
        <v xml:space="preserve"> </v>
      </c>
      <c r="Q13" s="22" t="str">
        <v xml:space="preserve"> </v>
      </c>
      <c r="R13" s="22" t="str">
        <v>1009510207</v>
      </c>
      <c r="S13" s="22" t="str">
        <v xml:space="preserve">CROENNE </v>
      </c>
      <c r="T13" s="22" t="str">
        <v xml:space="preserve">NoÍmie </v>
      </c>
      <c r="U13" s="22" t="str">
        <v xml:space="preserve">1009510207 </v>
      </c>
      <c r="V13" s="22" t="str">
        <v xml:space="preserve">CROENNE </v>
      </c>
      <c r="W13" s="22" t="str">
        <v xml:space="preserve">NoÍmie </v>
      </c>
      <c r="X13" s="22" t="str">
        <v>25.08.2026</v>
      </c>
      <c r="Y13" s="22" t="str">
        <v>16.08.2026</v>
      </c>
      <c r="Z13" s="22" t="str">
        <v>15.09.2026</v>
      </c>
      <c r="AA13" s="22" t="str">
        <v xml:space="preserve">Epargne GB(Assurance vie, BVE, Capi, TAP) </v>
      </c>
      <c r="AB13" s="22" t="str">
        <v xml:space="preserve">UC </v>
      </c>
      <c r="AC13" s="22" t="str">
        <v>LU3077229097</v>
      </c>
      <c r="AD13" s="22" t="str">
        <v xml:space="preserve">DNCA Invest Global New World B </v>
      </c>
      <c r="AE13" s="23">
        <v>0</v>
      </c>
      <c r="AF13" s="23">
        <v>0</v>
      </c>
      <c r="AG13" s="23">
        <v>100</v>
      </c>
      <c r="AH13" s="23">
        <v>4</v>
      </c>
      <c r="AI13" s="22" t="str">
        <v>Calculée</v>
      </c>
      <c r="AJ13" s="22" t="str">
        <v xml:space="preserve">Crédit </v>
      </c>
      <c r="AK13" s="23">
        <v>4</v>
      </c>
      <c r="AL13" s="22" t="str">
        <v>EUR</v>
      </c>
      <c r="AM13" s="22" t="str">
        <v>Intermediation</v>
      </c>
      <c r="AN13" s="22" t="str">
        <v>Oui</v>
      </c>
      <c r="AO13" s="22" t="str">
        <v>Non</v>
      </c>
      <c r="AP13" s="22" t="str">
        <v xml:space="preserve"> </v>
      </c>
      <c r="AQ13" s="22" t="str">
        <v xml:space="preserve">GESTION DEDIEE PART COURTIER 2026 T2 - GENERALI WEALTH SERVICES </v>
      </c>
      <c r="AR13" s="22" t="str">
        <v xml:space="preserve">GENERALI VIE </v>
      </c>
    </row>
    <row r="14" ht="40" customHeight="1">
      <c r="A14" s="20" t="str">
        <v xml:space="preserve">004797058 </v>
      </c>
      <c r="B14" s="20" t="str">
        <v>004016652</v>
      </c>
      <c r="C14" s="21">
        <v>20260904</v>
      </c>
      <c r="D14" s="20" t="str">
        <v>96531A</v>
      </c>
      <c r="E14" s="20" t="str">
        <v>13213B</v>
      </c>
      <c r="F14" s="20" t="str">
        <v>C10228</v>
      </c>
      <c r="G14" s="20" t="str">
        <v xml:space="preserve">ATELIER OPTIMUM </v>
      </c>
      <c r="H14" s="20" t="str">
        <v xml:space="preserve">30C10228 </v>
      </c>
      <c r="I14" s="20" t="str">
        <v xml:space="preserve">Epargne </v>
      </c>
      <c r="J14" s="20">
        <v>9501</v>
      </c>
      <c r="K14" s="20" t="str">
        <v xml:space="preserve">ESPACE INVEST 5 </v>
      </c>
      <c r="L14" s="20" t="str">
        <v xml:space="preserve">COT21 - COM. VERSEMENT LIBRE PROGRAMME </v>
      </c>
      <c r="M14" s="20" t="str">
        <v xml:space="preserve">VERSEMENT LIBRE PROGRAMME </v>
      </c>
      <c r="N14" s="20" t="str">
        <v xml:space="preserve">95212563 </v>
      </c>
      <c r="O14" s="20" t="str">
        <v xml:space="preserve">MARTINAUX </v>
      </c>
      <c r="P14" s="20" t="str">
        <v xml:space="preserve"> </v>
      </c>
      <c r="Q14" s="20" t="str">
        <v xml:space="preserve"> </v>
      </c>
      <c r="R14" s="20" t="str">
        <v>1004404886</v>
      </c>
      <c r="S14" s="20" t="str">
        <v xml:space="preserve">MARTINAUX </v>
      </c>
      <c r="T14" s="20" t="str">
        <v xml:space="preserve">Benoit </v>
      </c>
      <c r="U14" s="20" t="str">
        <v xml:space="preserve">1004404886 </v>
      </c>
      <c r="V14" s="20" t="str">
        <v xml:space="preserve">MARTINAUX </v>
      </c>
      <c r="W14" s="20" t="str">
        <v xml:space="preserve">Benoit </v>
      </c>
      <c r="X14" s="20" t="str">
        <v>10.08.2026</v>
      </c>
      <c r="Y14" s="20" t="str">
        <v>15.08.2026</v>
      </c>
      <c r="Z14" s="20" t="str">
        <v>14.09.2026</v>
      </c>
      <c r="AA14" s="20" t="str">
        <v xml:space="preserve">Epargne GB(Assurance vie, BVE, Capi, TAP) </v>
      </c>
      <c r="AB14" s="20" t="str">
        <v xml:space="preserve">UC </v>
      </c>
      <c r="AC14" s="20" t="str">
        <v>LU0104884860</v>
      </c>
      <c r="AD14" s="20" t="str">
        <v xml:space="preserve">PICTET Water P Eur </v>
      </c>
      <c r="AE14" s="21">
        <v>0</v>
      </c>
      <c r="AF14" s="21">
        <v>0</v>
      </c>
      <c r="AG14" s="21">
        <v>100</v>
      </c>
      <c r="AH14" s="21">
        <v>3.5</v>
      </c>
      <c r="AI14" s="20" t="str">
        <v>Calculée</v>
      </c>
      <c r="AJ14" s="20" t="str">
        <v xml:space="preserve">Crédit </v>
      </c>
      <c r="AK14" s="21">
        <v>3.5</v>
      </c>
      <c r="AL14" s="20" t="str">
        <v>EUR</v>
      </c>
      <c r="AM14" s="20" t="str">
        <v>Intermediation</v>
      </c>
      <c r="AN14" s="20" t="str">
        <v>Oui</v>
      </c>
      <c r="AO14" s="20" t="str">
        <v>Non</v>
      </c>
      <c r="AP14" s="20" t="str">
        <v xml:space="preserve"> </v>
      </c>
      <c r="AQ14" s="20" t="str">
        <v xml:space="preserve">GESTION DEDIEE PART COURTIER 2026 T2 - GENERALI WEALTH SERVICES </v>
      </c>
      <c r="AR14" s="20" t="str">
        <v xml:space="preserve">GENERALI VIE </v>
      </c>
    </row>
    <row r="15" ht="40" customHeight="1">
      <c r="A15" s="22" t="str">
        <v xml:space="preserve">004797058 </v>
      </c>
      <c r="B15" s="22" t="str">
        <v>004016652</v>
      </c>
      <c r="C15" s="23">
        <v>20260904</v>
      </c>
      <c r="D15" s="22" t="str">
        <v>96531A</v>
      </c>
      <c r="E15" s="22" t="str">
        <v>13213B</v>
      </c>
      <c r="F15" s="22" t="str">
        <v>C10228</v>
      </c>
      <c r="G15" s="22" t="str">
        <v xml:space="preserve">ATELIER OPTIMUM </v>
      </c>
      <c r="H15" s="22" t="str">
        <v xml:space="preserve">30C10228 </v>
      </c>
      <c r="I15" s="22" t="str">
        <v xml:space="preserve">Epargne </v>
      </c>
      <c r="J15" s="22">
        <v>9501</v>
      </c>
      <c r="K15" s="22" t="str">
        <v xml:space="preserve">ESPACE INVEST 5 </v>
      </c>
      <c r="L15" s="22" t="str">
        <v xml:space="preserve">COT21 - COM. VERSEMENT LIBRE PROGRAMME </v>
      </c>
      <c r="M15" s="22" t="str">
        <v xml:space="preserve">VERSEMENT LIBRE PROGRAMME </v>
      </c>
      <c r="N15" s="22" t="str">
        <v xml:space="preserve">95212564 </v>
      </c>
      <c r="O15" s="22" t="str">
        <v xml:space="preserve">MARTINAUX </v>
      </c>
      <c r="P15" s="22" t="str">
        <v xml:space="preserve"> </v>
      </c>
      <c r="Q15" s="22" t="str">
        <v xml:space="preserve"> </v>
      </c>
      <c r="R15" s="22" t="str">
        <v>1004388687</v>
      </c>
      <c r="S15" s="22" t="str">
        <v xml:space="preserve">MARTINAUX </v>
      </c>
      <c r="T15" s="22" t="str">
        <v xml:space="preserve">Frederique </v>
      </c>
      <c r="U15" s="22" t="str">
        <v xml:space="preserve">1004388687 </v>
      </c>
      <c r="V15" s="22" t="str">
        <v xml:space="preserve">MARTINAUX </v>
      </c>
      <c r="W15" s="22" t="str">
        <v xml:space="preserve">Frederique </v>
      </c>
      <c r="X15" s="22" t="str">
        <v>10.08.2026</v>
      </c>
      <c r="Y15" s="22" t="str">
        <v>15.08.2026</v>
      </c>
      <c r="Z15" s="22" t="str">
        <v>14.09.2026</v>
      </c>
      <c r="AA15" s="22" t="str">
        <v xml:space="preserve">Epargne GB(Assurance vie, BVE, Capi, TAP) </v>
      </c>
      <c r="AB15" s="22" t="str">
        <v xml:space="preserve">UC </v>
      </c>
      <c r="AC15" s="22" t="str">
        <v>LU0104884860</v>
      </c>
      <c r="AD15" s="22" t="str">
        <v xml:space="preserve">PICTET Water P Eur </v>
      </c>
      <c r="AE15" s="23">
        <v>0</v>
      </c>
      <c r="AF15" s="23">
        <v>0</v>
      </c>
      <c r="AG15" s="23">
        <v>100</v>
      </c>
      <c r="AH15" s="23">
        <v>3.5</v>
      </c>
      <c r="AI15" s="22" t="str">
        <v>Calculée</v>
      </c>
      <c r="AJ15" s="22" t="str">
        <v xml:space="preserve">Crédit </v>
      </c>
      <c r="AK15" s="23">
        <v>3.5</v>
      </c>
      <c r="AL15" s="22" t="str">
        <v>EUR</v>
      </c>
      <c r="AM15" s="22" t="str">
        <v>Intermediation</v>
      </c>
      <c r="AN15" s="22" t="str">
        <v>Oui</v>
      </c>
      <c r="AO15" s="22" t="str">
        <v>Non</v>
      </c>
      <c r="AP15" s="22" t="str">
        <v xml:space="preserve"> </v>
      </c>
      <c r="AQ15" s="22" t="str">
        <v xml:space="preserve">GESTION DEDIEE PART COURTIER 2026 T2 - GENERALI WEALTH SERVICES </v>
      </c>
      <c r="AR15" s="22" t="str">
        <v xml:space="preserve">GENERALI VIE </v>
      </c>
    </row>
    <row r="16" ht="40" customHeight="1">
      <c r="A16" s="20" t="str">
        <v xml:space="preserve">004797058 </v>
      </c>
      <c r="B16" s="20" t="str">
        <v>004016652</v>
      </c>
      <c r="C16" s="21">
        <v>20260904</v>
      </c>
      <c r="D16" s="20" t="str">
        <v>96531A</v>
      </c>
      <c r="E16" s="20" t="str">
        <v>13213B</v>
      </c>
      <c r="F16" s="20" t="str">
        <v>C10228</v>
      </c>
      <c r="G16" s="20" t="str">
        <v xml:space="preserve">ATELIER OPTIMUM </v>
      </c>
      <c r="H16" s="20" t="str">
        <v xml:space="preserve">30C10228 </v>
      </c>
      <c r="I16" s="20" t="str">
        <v xml:space="preserve">Epargne </v>
      </c>
      <c r="J16" s="20">
        <v>9501</v>
      </c>
      <c r="K16" s="20" t="str">
        <v xml:space="preserve">ESPACE INVEST 5 </v>
      </c>
      <c r="L16" s="20" t="str">
        <v xml:space="preserve">COT21 - COM. VERSEMENT LIBRE PROGRAMME </v>
      </c>
      <c r="M16" s="20" t="str">
        <v xml:space="preserve">VERSEMENT LIBRE PROGRAMME </v>
      </c>
      <c r="N16" s="20" t="str">
        <v xml:space="preserve">95215237 </v>
      </c>
      <c r="O16" s="20" t="str">
        <v xml:space="preserve">GUIVIER </v>
      </c>
      <c r="P16" s="20" t="str">
        <v xml:space="preserve"> </v>
      </c>
      <c r="Q16" s="20" t="str">
        <v xml:space="preserve"> </v>
      </c>
      <c r="R16" s="20" t="str">
        <v>0007538402</v>
      </c>
      <c r="S16" s="20" t="str">
        <v xml:space="preserve">GUIVIER </v>
      </c>
      <c r="T16" s="20" t="str">
        <v xml:space="preserve">Marjolaine </v>
      </c>
      <c r="U16" s="20" t="str">
        <v xml:space="preserve">1011417697 </v>
      </c>
      <c r="V16" s="20" t="str">
        <v xml:space="preserve">GUIVIER </v>
      </c>
      <c r="W16" s="20" t="str">
        <v xml:space="preserve">Marjolaine </v>
      </c>
      <c r="X16" s="20" t="str">
        <v>10.08.2026</v>
      </c>
      <c r="Y16" s="20" t="str">
        <v>15.08.2026</v>
      </c>
      <c r="Z16" s="20" t="str">
        <v>14.09.2026</v>
      </c>
      <c r="AA16" s="20" t="str">
        <v xml:space="preserve">Epargne GB(Assurance vie, BVE, Capi, TAP) </v>
      </c>
      <c r="AB16" s="20" t="str">
        <v xml:space="preserve">UC </v>
      </c>
      <c r="AC16" s="20" t="str">
        <v>LU0104884860</v>
      </c>
      <c r="AD16" s="20" t="str">
        <v xml:space="preserve">PICTET Water P Eur </v>
      </c>
      <c r="AE16" s="21">
        <v>0</v>
      </c>
      <c r="AF16" s="21">
        <v>0</v>
      </c>
      <c r="AG16" s="21">
        <v>100</v>
      </c>
      <c r="AH16" s="21">
        <v>3.5</v>
      </c>
      <c r="AI16" s="20" t="str">
        <v>Calculée</v>
      </c>
      <c r="AJ16" s="20" t="str">
        <v xml:space="preserve">Crédit </v>
      </c>
      <c r="AK16" s="21">
        <v>3.5</v>
      </c>
      <c r="AL16" s="20" t="str">
        <v>EUR</v>
      </c>
      <c r="AM16" s="20" t="str">
        <v>Intermediation</v>
      </c>
      <c r="AN16" s="20" t="str">
        <v>Oui</v>
      </c>
      <c r="AO16" s="20" t="str">
        <v>Non</v>
      </c>
      <c r="AP16" s="20" t="str">
        <v xml:space="preserve"> </v>
      </c>
      <c r="AQ16" s="20" t="str">
        <v xml:space="preserve">GESTION DEDIEE PART COURTIER 2026 T2 - GENERALI WEALTH SERVICES </v>
      </c>
      <c r="AR16" s="20" t="str">
        <v xml:space="preserve">GENERALI VIE </v>
      </c>
    </row>
    <row r="17" ht="40" customHeight="1">
      <c r="A17" s="22" t="str">
        <v xml:space="preserve">004797058 </v>
      </c>
      <c r="B17" s="22" t="str">
        <v>004016652</v>
      </c>
      <c r="C17" s="23">
        <v>20260904</v>
      </c>
      <c r="D17" s="22" t="str">
        <v>96531A</v>
      </c>
      <c r="E17" s="22" t="str">
        <v>13213B</v>
      </c>
      <c r="F17" s="22" t="str">
        <v>C10228</v>
      </c>
      <c r="G17" s="22" t="str">
        <v xml:space="preserve">ATELIER OPTIMUM </v>
      </c>
      <c r="H17" s="22" t="str">
        <v xml:space="preserve">30C10228 </v>
      </c>
      <c r="I17" s="22" t="str">
        <v xml:space="preserve">Epargne </v>
      </c>
      <c r="J17" s="22">
        <v>9501</v>
      </c>
      <c r="K17" s="22" t="str">
        <v xml:space="preserve">ESPACE INVEST 5 </v>
      </c>
      <c r="L17" s="22" t="str">
        <v xml:space="preserve">COT21 - COM. VERSEMENT LIBRE PROGRAMME </v>
      </c>
      <c r="M17" s="22" t="str">
        <v xml:space="preserve">VERSEMENT LIBRE PROGRAMME </v>
      </c>
      <c r="N17" s="22" t="str">
        <v xml:space="preserve">95217597 </v>
      </c>
      <c r="O17" s="22" t="str">
        <v xml:space="preserve">DUBOZ </v>
      </c>
      <c r="P17" s="22" t="str">
        <v xml:space="preserve"> </v>
      </c>
      <c r="Q17" s="22" t="str">
        <v xml:space="preserve"> </v>
      </c>
      <c r="R17" s="22" t="str">
        <v>1008725021</v>
      </c>
      <c r="S17" s="22" t="str">
        <v xml:space="preserve">DUBOZ </v>
      </c>
      <c r="T17" s="22" t="str">
        <v xml:space="preserve">Julie </v>
      </c>
      <c r="U17" s="22" t="str">
        <v xml:space="preserve">1008725021 </v>
      </c>
      <c r="V17" s="22" t="str">
        <v xml:space="preserve">DUBOZ </v>
      </c>
      <c r="W17" s="22" t="str">
        <v xml:space="preserve">Julie </v>
      </c>
      <c r="X17" s="22" t="str">
        <v>10.08.2026</v>
      </c>
      <c r="Y17" s="22" t="str">
        <v>15.08.2026</v>
      </c>
      <c r="Z17" s="22" t="str">
        <v>14.09.2026</v>
      </c>
      <c r="AA17" s="22" t="str">
        <v xml:space="preserve">Epargne GB(Assurance vie, BVE, Capi, TAP) </v>
      </c>
      <c r="AB17" s="22" t="str">
        <v xml:space="preserve">UC </v>
      </c>
      <c r="AC17" s="22" t="str">
        <v>LU0503631714</v>
      </c>
      <c r="AD17" s="22" t="str">
        <v xml:space="preserve">Pictet Global Envir Opps P </v>
      </c>
      <c r="AE17" s="23">
        <v>0</v>
      </c>
      <c r="AF17" s="23">
        <v>0</v>
      </c>
      <c r="AG17" s="23">
        <v>100</v>
      </c>
      <c r="AH17" s="23">
        <v>3.5</v>
      </c>
      <c r="AI17" s="22" t="str">
        <v>Calculée</v>
      </c>
      <c r="AJ17" s="22" t="str">
        <v xml:space="preserve">Crédit </v>
      </c>
      <c r="AK17" s="23">
        <v>3.5</v>
      </c>
      <c r="AL17" s="22" t="str">
        <v>EUR</v>
      </c>
      <c r="AM17" s="22" t="str">
        <v>Intermediation</v>
      </c>
      <c r="AN17" s="22" t="str">
        <v>Oui</v>
      </c>
      <c r="AO17" s="22" t="str">
        <v>Non</v>
      </c>
      <c r="AP17" s="22" t="str">
        <v xml:space="preserve"> </v>
      </c>
      <c r="AQ17" s="22" t="str">
        <v xml:space="preserve">GESTION DEDIEE PART COURTIER 2026 T2 - GENERALI WEALTH SERVICES </v>
      </c>
      <c r="AR17" s="22" t="str">
        <v xml:space="preserve">GENERALI VIE </v>
      </c>
    </row>
    <row r="18" ht="40" customHeight="1">
      <c r="A18" s="20" t="str">
        <v xml:space="preserve">004797058 </v>
      </c>
      <c r="B18" s="20" t="str">
        <v>004016652</v>
      </c>
      <c r="C18" s="21">
        <v>20260904</v>
      </c>
      <c r="D18" s="20" t="str">
        <v>96531A</v>
      </c>
      <c r="E18" s="20" t="str">
        <v>13213B</v>
      </c>
      <c r="F18" s="20" t="str">
        <v>C10228</v>
      </c>
      <c r="G18" s="20" t="str">
        <v xml:space="preserve">ATELIER OPTIMUM </v>
      </c>
      <c r="H18" s="20" t="str">
        <v xml:space="preserve">30C10228 </v>
      </c>
      <c r="I18" s="20" t="str">
        <v xml:space="preserve">Epargne </v>
      </c>
      <c r="J18" s="20">
        <v>9501</v>
      </c>
      <c r="K18" s="20" t="str">
        <v xml:space="preserve">ESPACE INVEST 5 </v>
      </c>
      <c r="L18" s="20" t="str">
        <v xml:space="preserve">COT21 - COM. VERSEMENT LIBRE PROGRAMME </v>
      </c>
      <c r="M18" s="20" t="str">
        <v xml:space="preserve">VERSEMENT LIBRE PROGRAMME </v>
      </c>
      <c r="N18" s="20" t="str">
        <v xml:space="preserve">95217597 </v>
      </c>
      <c r="O18" s="20" t="str">
        <v xml:space="preserve">DUBOZ </v>
      </c>
      <c r="P18" s="20" t="str">
        <v xml:space="preserve"> </v>
      </c>
      <c r="Q18" s="20" t="str">
        <v xml:space="preserve"> </v>
      </c>
      <c r="R18" s="20" t="str">
        <v>1008725021</v>
      </c>
      <c r="S18" s="20" t="str">
        <v xml:space="preserve">DUBOZ </v>
      </c>
      <c r="T18" s="20" t="str">
        <v xml:space="preserve">Julie </v>
      </c>
      <c r="U18" s="20" t="str">
        <v xml:space="preserve">1008725021 </v>
      </c>
      <c r="V18" s="20" t="str">
        <v xml:space="preserve">DUBOZ </v>
      </c>
      <c r="W18" s="20" t="str">
        <v xml:space="preserve">Julie </v>
      </c>
      <c r="X18" s="20" t="str">
        <v>10.08.2026</v>
      </c>
      <c r="Y18" s="20" t="str">
        <v>15.08.2026</v>
      </c>
      <c r="Z18" s="20" t="str">
        <v>14.09.2026</v>
      </c>
      <c r="AA18" s="20" t="str">
        <v xml:space="preserve">Epargne GB(Assurance vie, BVE, Capi, TAP) </v>
      </c>
      <c r="AB18" s="20" t="str">
        <v xml:space="preserve">UC </v>
      </c>
      <c r="AC18" s="20" t="str">
        <v>LU0386882277</v>
      </c>
      <c r="AD18" s="20" t="str">
        <v xml:space="preserve">PICTET Glob Mega Selec P C </v>
      </c>
      <c r="AE18" s="21">
        <v>0</v>
      </c>
      <c r="AF18" s="21">
        <v>0</v>
      </c>
      <c r="AG18" s="21">
        <v>100</v>
      </c>
      <c r="AH18" s="21">
        <v>3.5</v>
      </c>
      <c r="AI18" s="20" t="str">
        <v>Calculée</v>
      </c>
      <c r="AJ18" s="20" t="str">
        <v xml:space="preserve">Crédit </v>
      </c>
      <c r="AK18" s="21">
        <v>3.5</v>
      </c>
      <c r="AL18" s="20" t="str">
        <v>EUR</v>
      </c>
      <c r="AM18" s="20" t="str">
        <v>Intermediation</v>
      </c>
      <c r="AN18" s="20" t="str">
        <v>Oui</v>
      </c>
      <c r="AO18" s="20" t="str">
        <v>Non</v>
      </c>
      <c r="AP18" s="20" t="str">
        <v xml:space="preserve"> </v>
      </c>
      <c r="AQ18" s="20" t="str">
        <v xml:space="preserve">GESTION DEDIEE PART COURTIER 2026 T2 - GENERALI WEALTH SERVICES </v>
      </c>
      <c r="AR18" s="20" t="str">
        <v xml:space="preserve">GENERALI VIE </v>
      </c>
    </row>
    <row r="19" ht="40" customHeight="1">
      <c r="A19" s="22" t="str">
        <v xml:space="preserve">004797058 </v>
      </c>
      <c r="B19" s="22" t="str">
        <v>004016652</v>
      </c>
      <c r="C19" s="23">
        <v>20260904</v>
      </c>
      <c r="D19" s="22" t="str">
        <v>96531A</v>
      </c>
      <c r="E19" s="22" t="str">
        <v>13213B</v>
      </c>
      <c r="F19" s="22" t="str">
        <v>C10228</v>
      </c>
      <c r="G19" s="22" t="str">
        <v xml:space="preserve">ATELIER OPTIMUM </v>
      </c>
      <c r="H19" s="22" t="str">
        <v xml:space="preserve">30C10228 </v>
      </c>
      <c r="I19" s="22" t="str">
        <v xml:space="preserve">Epargne </v>
      </c>
      <c r="J19" s="22">
        <v>9501</v>
      </c>
      <c r="K19" s="22" t="str">
        <v xml:space="preserve">ESPACE INVEST 5 </v>
      </c>
      <c r="L19" s="22" t="str">
        <v xml:space="preserve">COT21 - COM. VERSEMENT LIBRE PROGRAMME </v>
      </c>
      <c r="M19" s="22" t="str">
        <v xml:space="preserve">VERSEMENT LIBRE PROGRAMME </v>
      </c>
      <c r="N19" s="22" t="str">
        <v xml:space="preserve">95217597 </v>
      </c>
      <c r="O19" s="22" t="str">
        <v xml:space="preserve">DUBOZ </v>
      </c>
      <c r="P19" s="22" t="str">
        <v xml:space="preserve"> </v>
      </c>
      <c r="Q19" s="22" t="str">
        <v xml:space="preserve"> </v>
      </c>
      <c r="R19" s="22" t="str">
        <v>1008725021</v>
      </c>
      <c r="S19" s="22" t="str">
        <v xml:space="preserve">DUBOZ </v>
      </c>
      <c r="T19" s="22" t="str">
        <v xml:space="preserve">Julie </v>
      </c>
      <c r="U19" s="22" t="str">
        <v xml:space="preserve">1008725021 </v>
      </c>
      <c r="V19" s="22" t="str">
        <v xml:space="preserve">DUBOZ </v>
      </c>
      <c r="W19" s="22" t="str">
        <v xml:space="preserve">Julie </v>
      </c>
      <c r="X19" s="22" t="str">
        <v>10.08.2026</v>
      </c>
      <c r="Y19" s="22" t="str">
        <v>15.08.2026</v>
      </c>
      <c r="Z19" s="22" t="str">
        <v>14.09.2026</v>
      </c>
      <c r="AA19" s="22" t="str">
        <v xml:space="preserve">Epargne GB(Assurance vie, BVE, Capi, TAP) </v>
      </c>
      <c r="AB19" s="22" t="str">
        <v xml:space="preserve">UC </v>
      </c>
      <c r="AC19" s="22" t="str">
        <v>LU1244893696</v>
      </c>
      <c r="AD19" s="22" t="str">
        <v xml:space="preserve">EDR Fund Big Data A </v>
      </c>
      <c r="AE19" s="23">
        <v>0</v>
      </c>
      <c r="AF19" s="23">
        <v>0</v>
      </c>
      <c r="AG19" s="23">
        <v>100</v>
      </c>
      <c r="AH19" s="23">
        <v>3.5</v>
      </c>
      <c r="AI19" s="22" t="str">
        <v>Calculée</v>
      </c>
      <c r="AJ19" s="22" t="str">
        <v xml:space="preserve">Crédit </v>
      </c>
      <c r="AK19" s="23">
        <v>3.5</v>
      </c>
      <c r="AL19" s="22" t="str">
        <v>EUR</v>
      </c>
      <c r="AM19" s="22" t="str">
        <v>Intermediation</v>
      </c>
      <c r="AN19" s="22" t="str">
        <v>Oui</v>
      </c>
      <c r="AO19" s="22" t="str">
        <v>Non</v>
      </c>
      <c r="AP19" s="22" t="str">
        <v xml:space="preserve"> </v>
      </c>
      <c r="AQ19" s="22" t="str">
        <v xml:space="preserve">GESTION DEDIEE PART COURTIER 2026 T2 - GENERALI WEALTH SERVICES </v>
      </c>
      <c r="AR19" s="22" t="str">
        <v xml:space="preserve">GENERALI VIE </v>
      </c>
    </row>
    <row r="20" ht="40" customHeight="1">
      <c r="A20" s="20" t="str">
        <v xml:space="preserve">004797058 </v>
      </c>
      <c r="B20" s="20" t="str">
        <v>004016652</v>
      </c>
      <c r="C20" s="21">
        <v>20260904</v>
      </c>
      <c r="D20" s="20" t="str">
        <v>96531A</v>
      </c>
      <c r="E20" s="20" t="str">
        <v>13213B</v>
      </c>
      <c r="F20" s="20" t="str">
        <v>C10228</v>
      </c>
      <c r="G20" s="20" t="str">
        <v xml:space="preserve">ATELIER OPTIMUM </v>
      </c>
      <c r="H20" s="20" t="str">
        <v xml:space="preserve">30C10228 </v>
      </c>
      <c r="I20" s="20" t="str">
        <v xml:space="preserve">Epargne </v>
      </c>
      <c r="J20" s="20">
        <v>9501</v>
      </c>
      <c r="K20" s="20" t="str">
        <v xml:space="preserve">ESPACE INVEST 5 </v>
      </c>
      <c r="L20" s="20" t="str">
        <v xml:space="preserve">COT21 - COM. VERSEMENT LIBRE PROGRAMME </v>
      </c>
      <c r="M20" s="20" t="str">
        <v xml:space="preserve">VERSEMENT LIBRE PROGRAMME </v>
      </c>
      <c r="N20" s="20" t="str">
        <v xml:space="preserve">95218284 </v>
      </c>
      <c r="O20" s="20" t="str">
        <v xml:space="preserve">LEROI </v>
      </c>
      <c r="P20" s="20" t="str">
        <v xml:space="preserve"> </v>
      </c>
      <c r="Q20" s="20" t="str">
        <v xml:space="preserve"> </v>
      </c>
      <c r="R20" s="20" t="str">
        <v>1010496254</v>
      </c>
      <c r="S20" s="20" t="str">
        <v xml:space="preserve">LEROI </v>
      </c>
      <c r="T20" s="20" t="str">
        <v xml:space="preserve">Laurent </v>
      </c>
      <c r="U20" s="20" t="str">
        <v xml:space="preserve">1010496254 </v>
      </c>
      <c r="V20" s="20" t="str">
        <v xml:space="preserve">LEROI </v>
      </c>
      <c r="W20" s="20" t="str">
        <v xml:space="preserve">Laurent </v>
      </c>
      <c r="X20" s="20" t="str">
        <v>10.08.2026</v>
      </c>
      <c r="Y20" s="20" t="str">
        <v>15.08.2026</v>
      </c>
      <c r="Z20" s="20" t="str">
        <v>14.09.2026</v>
      </c>
      <c r="AA20" s="20" t="str">
        <v xml:space="preserve">Epargne GB(Assurance vie, BVE, Capi, TAP) </v>
      </c>
      <c r="AB20" s="20" t="str">
        <v xml:space="preserve">UC </v>
      </c>
      <c r="AC20" s="20" t="str">
        <v>LU1819480192</v>
      </c>
      <c r="AD20" s="20" t="str">
        <v xml:space="preserve">ECHIQUIER Artificial Intel B </v>
      </c>
      <c r="AE20" s="21">
        <v>0</v>
      </c>
      <c r="AF20" s="21">
        <v>0</v>
      </c>
      <c r="AG20" s="21">
        <v>100</v>
      </c>
      <c r="AH20" s="21">
        <v>3.8</v>
      </c>
      <c r="AI20" s="20" t="str">
        <v>Calculée</v>
      </c>
      <c r="AJ20" s="20" t="str">
        <v xml:space="preserve">Crédit </v>
      </c>
      <c r="AK20" s="21">
        <v>3.8</v>
      </c>
      <c r="AL20" s="20" t="str">
        <v>EUR</v>
      </c>
      <c r="AM20" s="20" t="str">
        <v>Intermediation</v>
      </c>
      <c r="AN20" s="20" t="str">
        <v>Oui</v>
      </c>
      <c r="AO20" s="20" t="str">
        <v>Non</v>
      </c>
      <c r="AP20" s="20" t="str">
        <v xml:space="preserve"> </v>
      </c>
      <c r="AQ20" s="20" t="str">
        <v xml:space="preserve">GESTION DEDIEE PART COURTIER 2026 T2 - GENERALI WEALTH SERVICES </v>
      </c>
      <c r="AR20" s="20" t="str">
        <v xml:space="preserve">GENERALI VIE </v>
      </c>
    </row>
    <row r="21" ht="40" customHeight="1">
      <c r="A21" s="22" t="str">
        <v xml:space="preserve">004797058 </v>
      </c>
      <c r="B21" s="22" t="str">
        <v>004016652</v>
      </c>
      <c r="C21" s="23">
        <v>20260904</v>
      </c>
      <c r="D21" s="22" t="str">
        <v>96531A</v>
      </c>
      <c r="E21" s="22" t="str">
        <v>13213B</v>
      </c>
      <c r="F21" s="22" t="str">
        <v>C10228</v>
      </c>
      <c r="G21" s="22" t="str">
        <v xml:space="preserve">ATELIER OPTIMUM </v>
      </c>
      <c r="H21" s="22" t="str">
        <v xml:space="preserve">30C10228 </v>
      </c>
      <c r="I21" s="22" t="str">
        <v xml:space="preserve">Epargne </v>
      </c>
      <c r="J21" s="22">
        <v>9501</v>
      </c>
      <c r="K21" s="22" t="str">
        <v xml:space="preserve">ESPACE INVEST 5 </v>
      </c>
      <c r="L21" s="22" t="str">
        <v xml:space="preserve">COT21 - COM. VERSEMENT LIBRE PROGRAMME </v>
      </c>
      <c r="M21" s="22" t="str">
        <v xml:space="preserve">VERSEMENT LIBRE PROGRAMME </v>
      </c>
      <c r="N21" s="22" t="str">
        <v xml:space="preserve">95218284 </v>
      </c>
      <c r="O21" s="22" t="str">
        <v xml:space="preserve">LEROI </v>
      </c>
      <c r="P21" s="22" t="str">
        <v xml:space="preserve"> </v>
      </c>
      <c r="Q21" s="22" t="str">
        <v xml:space="preserve"> </v>
      </c>
      <c r="R21" s="22" t="str">
        <v>1010496254</v>
      </c>
      <c r="S21" s="22" t="str">
        <v xml:space="preserve">LEROI </v>
      </c>
      <c r="T21" s="22" t="str">
        <v xml:space="preserve">Laurent </v>
      </c>
      <c r="U21" s="22" t="str">
        <v xml:space="preserve">1010496254 </v>
      </c>
      <c r="V21" s="22" t="str">
        <v xml:space="preserve">LEROI </v>
      </c>
      <c r="W21" s="22" t="str">
        <v xml:space="preserve">Laurent </v>
      </c>
      <c r="X21" s="22" t="str">
        <v>10.08.2026</v>
      </c>
      <c r="Y21" s="22" t="str">
        <v>15.08.2026</v>
      </c>
      <c r="Z21" s="22" t="str">
        <v>14.09.2026</v>
      </c>
      <c r="AA21" s="22" t="str">
        <v xml:space="preserve">Epargne GB(Assurance vie, BVE, Capi, TAP) </v>
      </c>
      <c r="AB21" s="22" t="str">
        <v xml:space="preserve">UC </v>
      </c>
      <c r="AC21" s="22" t="str">
        <v>FR0000284689</v>
      </c>
      <c r="AD21" s="22" t="str">
        <v xml:space="preserve">COMGEST Monde C </v>
      </c>
      <c r="AE21" s="23">
        <v>0</v>
      </c>
      <c r="AF21" s="23">
        <v>0</v>
      </c>
      <c r="AG21" s="23">
        <v>100</v>
      </c>
      <c r="AH21" s="23">
        <v>3.8</v>
      </c>
      <c r="AI21" s="22" t="str">
        <v>Calculée</v>
      </c>
      <c r="AJ21" s="22" t="str">
        <v xml:space="preserve">Crédit </v>
      </c>
      <c r="AK21" s="23">
        <v>3.8</v>
      </c>
      <c r="AL21" s="22" t="str">
        <v>EUR</v>
      </c>
      <c r="AM21" s="22" t="str">
        <v>Intermediation</v>
      </c>
      <c r="AN21" s="22" t="str">
        <v>Oui</v>
      </c>
      <c r="AO21" s="22" t="str">
        <v>Non</v>
      </c>
      <c r="AP21" s="22" t="str">
        <v xml:space="preserve"> </v>
      </c>
      <c r="AQ21" s="22" t="str">
        <v xml:space="preserve">GESTION DEDIEE PART COURTIER 2026 T2 - GENERALI WEALTH SERVICES </v>
      </c>
      <c r="AR21" s="22" t="str">
        <v xml:space="preserve">GENERALI VIE </v>
      </c>
    </row>
    <row r="22" ht="40" customHeight="1">
      <c r="A22" s="20" t="str">
        <v xml:space="preserve">004797058 </v>
      </c>
      <c r="B22" s="20" t="str">
        <v>004016652</v>
      </c>
      <c r="C22" s="21">
        <v>20260904</v>
      </c>
      <c r="D22" s="20" t="str">
        <v>96531A</v>
      </c>
      <c r="E22" s="20" t="str">
        <v>13213B</v>
      </c>
      <c r="F22" s="20" t="str">
        <v>C10228</v>
      </c>
      <c r="G22" s="20" t="str">
        <v xml:space="preserve">ATELIER OPTIMUM </v>
      </c>
      <c r="H22" s="20" t="str">
        <v xml:space="preserve">30C10228 </v>
      </c>
      <c r="I22" s="20" t="str">
        <v xml:space="preserve">Epargne </v>
      </c>
      <c r="J22" s="20">
        <v>9501</v>
      </c>
      <c r="K22" s="20" t="str">
        <v xml:space="preserve">ESPACE INVEST 5 </v>
      </c>
      <c r="L22" s="20" t="str">
        <v xml:space="preserve">COT21 - COM. VERSEMENT LIBRE PROGRAMME </v>
      </c>
      <c r="M22" s="20" t="str">
        <v xml:space="preserve">VERSEMENT LIBRE PROGRAMME </v>
      </c>
      <c r="N22" s="20" t="str">
        <v xml:space="preserve">95218284 </v>
      </c>
      <c r="O22" s="20" t="str">
        <v xml:space="preserve">LEROI </v>
      </c>
      <c r="P22" s="20" t="str">
        <v xml:space="preserve"> </v>
      </c>
      <c r="Q22" s="20" t="str">
        <v xml:space="preserve"> </v>
      </c>
      <c r="R22" s="20" t="str">
        <v>1010496254</v>
      </c>
      <c r="S22" s="20" t="str">
        <v xml:space="preserve">LEROI </v>
      </c>
      <c r="T22" s="20" t="str">
        <v xml:space="preserve">Laurent </v>
      </c>
      <c r="U22" s="20" t="str">
        <v xml:space="preserve">1010496254 </v>
      </c>
      <c r="V22" s="20" t="str">
        <v xml:space="preserve">LEROI </v>
      </c>
      <c r="W22" s="20" t="str">
        <v xml:space="preserve">Laurent </v>
      </c>
      <c r="X22" s="20" t="str">
        <v>10.08.2026</v>
      </c>
      <c r="Y22" s="20" t="str">
        <v>15.08.2026</v>
      </c>
      <c r="Z22" s="20" t="str">
        <v>14.09.2026</v>
      </c>
      <c r="AA22" s="20" t="str">
        <v xml:space="preserve">Epargne GB(Assurance vie, BVE, Capi, TAP) </v>
      </c>
      <c r="AB22" s="20" t="str">
        <v xml:space="preserve">UC </v>
      </c>
      <c r="AC22" s="20" t="str">
        <v>LU0104884860</v>
      </c>
      <c r="AD22" s="20" t="str">
        <v xml:space="preserve">PICTET Water P Eur </v>
      </c>
      <c r="AE22" s="21">
        <v>0</v>
      </c>
      <c r="AF22" s="21">
        <v>0</v>
      </c>
      <c r="AG22" s="21">
        <v>100</v>
      </c>
      <c r="AH22" s="21">
        <v>3.8</v>
      </c>
      <c r="AI22" s="20" t="str">
        <v>Calculée</v>
      </c>
      <c r="AJ22" s="20" t="str">
        <v xml:space="preserve">Crédit </v>
      </c>
      <c r="AK22" s="21">
        <v>3.8</v>
      </c>
      <c r="AL22" s="20" t="str">
        <v>EUR</v>
      </c>
      <c r="AM22" s="20" t="str">
        <v>Intermediation</v>
      </c>
      <c r="AN22" s="20" t="str">
        <v>Oui</v>
      </c>
      <c r="AO22" s="20" t="str">
        <v>Non</v>
      </c>
      <c r="AP22" s="20" t="str">
        <v xml:space="preserve"> </v>
      </c>
      <c r="AQ22" s="20" t="str">
        <v xml:space="preserve">GESTION DEDIEE PART COURTIER 2026 T2 - GENERALI WEALTH SERVICES </v>
      </c>
      <c r="AR22" s="20" t="str">
        <v xml:space="preserve">GENERALI VIE </v>
      </c>
    </row>
    <row r="23" ht="40" customHeight="1">
      <c r="A23" s="22" t="str">
        <v xml:space="preserve">004797058 </v>
      </c>
      <c r="B23" s="22" t="str">
        <v>004016652</v>
      </c>
      <c r="C23" s="23">
        <v>20260904</v>
      </c>
      <c r="D23" s="22" t="str">
        <v>96531A</v>
      </c>
      <c r="E23" s="22" t="str">
        <v>13213B</v>
      </c>
      <c r="F23" s="22" t="str">
        <v>C10228</v>
      </c>
      <c r="G23" s="22" t="str">
        <v xml:space="preserve">ATELIER OPTIMUM </v>
      </c>
      <c r="H23" s="22" t="str">
        <v xml:space="preserve">30C10228 </v>
      </c>
      <c r="I23" s="22" t="str">
        <v xml:space="preserve">Epargne </v>
      </c>
      <c r="J23" s="22">
        <v>9501</v>
      </c>
      <c r="K23" s="22" t="str">
        <v xml:space="preserve">ESPACE INVEST 5 </v>
      </c>
      <c r="L23" s="22" t="str">
        <v xml:space="preserve">COT21 - COM. VERSEMENT LIBRE PROGRAMME </v>
      </c>
      <c r="M23" s="22" t="str">
        <v xml:space="preserve">VERSEMENT LIBRE PROGRAMME </v>
      </c>
      <c r="N23" s="22" t="str">
        <v xml:space="preserve">95219239 </v>
      </c>
      <c r="O23" s="22" t="str">
        <v xml:space="preserve">CAILLE </v>
      </c>
      <c r="P23" s="22" t="str">
        <v xml:space="preserve"> </v>
      </c>
      <c r="Q23" s="22" t="str">
        <v xml:space="preserve"> </v>
      </c>
      <c r="R23" s="22" t="str">
        <v>1010841441</v>
      </c>
      <c r="S23" s="22" t="str">
        <v xml:space="preserve">CAILLE </v>
      </c>
      <c r="T23" s="22" t="str">
        <v xml:space="preserve">David </v>
      </c>
      <c r="U23" s="22" t="str">
        <v xml:space="preserve">1010841441 </v>
      </c>
      <c r="V23" s="22" t="str">
        <v xml:space="preserve">CAILLE </v>
      </c>
      <c r="W23" s="22" t="str">
        <v xml:space="preserve">David </v>
      </c>
      <c r="X23" s="22" t="str">
        <v>10.08.2026</v>
      </c>
      <c r="Y23" s="22" t="str">
        <v>15.08.2026</v>
      </c>
      <c r="Z23" s="22" t="str">
        <v>14.09.2026</v>
      </c>
      <c r="AA23" s="22" t="str">
        <v xml:space="preserve">Epargne GB(Assurance vie, BVE, Capi, TAP) </v>
      </c>
      <c r="AB23" s="22" t="str">
        <v xml:space="preserve">UC </v>
      </c>
      <c r="AC23" s="22" t="str">
        <v>LU1279334483</v>
      </c>
      <c r="AD23" s="22" t="str">
        <v xml:space="preserve">PICTET Robotics R </v>
      </c>
      <c r="AE23" s="23">
        <v>0</v>
      </c>
      <c r="AF23" s="23">
        <v>0</v>
      </c>
      <c r="AG23" s="23">
        <v>175</v>
      </c>
      <c r="AH23" s="23">
        <v>2.50286</v>
      </c>
      <c r="AI23" s="22" t="str">
        <v>Calculée</v>
      </c>
      <c r="AJ23" s="22" t="str">
        <v xml:space="preserve">Crédit </v>
      </c>
      <c r="AK23" s="23">
        <v>4.38</v>
      </c>
      <c r="AL23" s="22" t="str">
        <v>EUR</v>
      </c>
      <c r="AM23" s="22" t="str">
        <v>Intermediation</v>
      </c>
      <c r="AN23" s="22" t="str">
        <v>Oui</v>
      </c>
      <c r="AO23" s="22" t="str">
        <v>Non</v>
      </c>
      <c r="AP23" s="22" t="str">
        <v xml:space="preserve"> </v>
      </c>
      <c r="AQ23" s="22" t="str">
        <v xml:space="preserve">GESTION DEDIEE PART COURTIER 2026 T2 - GENERALI WEALTH SERVICES </v>
      </c>
      <c r="AR23" s="22" t="str">
        <v xml:space="preserve">GENERALI VIE </v>
      </c>
    </row>
    <row r="24" ht="40" customHeight="1">
      <c r="A24" s="20" t="str">
        <v xml:space="preserve">004797058 </v>
      </c>
      <c r="B24" s="20" t="str">
        <v>004016652</v>
      </c>
      <c r="C24" s="21">
        <v>20260904</v>
      </c>
      <c r="D24" s="20" t="str">
        <v>96531A</v>
      </c>
      <c r="E24" s="20" t="str">
        <v>13213B</v>
      </c>
      <c r="F24" s="20" t="str">
        <v>C10228</v>
      </c>
      <c r="G24" s="20" t="str">
        <v xml:space="preserve">ATELIER OPTIMUM </v>
      </c>
      <c r="H24" s="20" t="str">
        <v xml:space="preserve">30C10228 </v>
      </c>
      <c r="I24" s="20" t="str">
        <v xml:space="preserve">Epargne </v>
      </c>
      <c r="J24" s="20">
        <v>9501</v>
      </c>
      <c r="K24" s="20" t="str">
        <v xml:space="preserve">ESPACE INVEST 5 </v>
      </c>
      <c r="L24" s="20" t="str">
        <v xml:space="preserve">COT21 - COM. VERSEMENT LIBRE PROGRAMME </v>
      </c>
      <c r="M24" s="20" t="str">
        <v xml:space="preserve">VERSEMENT LIBRE PROGRAMME </v>
      </c>
      <c r="N24" s="20" t="str">
        <v xml:space="preserve">95219240 </v>
      </c>
      <c r="O24" s="20" t="str">
        <v xml:space="preserve">CAILLE </v>
      </c>
      <c r="P24" s="20" t="str">
        <v xml:space="preserve"> </v>
      </c>
      <c r="Q24" s="20" t="str">
        <v xml:space="preserve"> </v>
      </c>
      <c r="R24" s="20" t="str">
        <v>1010841442</v>
      </c>
      <c r="S24" s="20" t="str">
        <v xml:space="preserve">CAILLE </v>
      </c>
      <c r="T24" s="20" t="str">
        <v xml:space="preserve">Mariannick </v>
      </c>
      <c r="U24" s="20" t="str">
        <v xml:space="preserve">1010841442 </v>
      </c>
      <c r="V24" s="20" t="str">
        <v xml:space="preserve">CAILLE </v>
      </c>
      <c r="W24" s="20" t="str">
        <v xml:space="preserve">Mariannick </v>
      </c>
      <c r="X24" s="20" t="str">
        <v>10.08.2026</v>
      </c>
      <c r="Y24" s="20" t="str">
        <v>15.08.2026</v>
      </c>
      <c r="Z24" s="20" t="str">
        <v>14.09.2026</v>
      </c>
      <c r="AA24" s="20" t="str">
        <v xml:space="preserve">Epargne GB(Assurance vie, BVE, Capi, TAP) </v>
      </c>
      <c r="AB24" s="20" t="str">
        <v xml:space="preserve">UC </v>
      </c>
      <c r="AC24" s="20" t="str">
        <v>LU0159052710</v>
      </c>
      <c r="AD24" s="20" t="str">
        <v xml:space="preserve">JPM Us Technology Fd A </v>
      </c>
      <c r="AE24" s="21">
        <v>0</v>
      </c>
      <c r="AF24" s="21">
        <v>0</v>
      </c>
      <c r="AG24" s="21">
        <v>175</v>
      </c>
      <c r="AH24" s="21">
        <v>2.50286</v>
      </c>
      <c r="AI24" s="20" t="str">
        <v>Calculée</v>
      </c>
      <c r="AJ24" s="20" t="str">
        <v xml:space="preserve">Crédit </v>
      </c>
      <c r="AK24" s="21">
        <v>4.38</v>
      </c>
      <c r="AL24" s="20" t="str">
        <v>EUR</v>
      </c>
      <c r="AM24" s="20" t="str">
        <v>Intermediation</v>
      </c>
      <c r="AN24" s="20" t="str">
        <v>Oui</v>
      </c>
      <c r="AO24" s="20" t="str">
        <v>Non</v>
      </c>
      <c r="AP24" s="20" t="str">
        <v xml:space="preserve"> </v>
      </c>
      <c r="AQ24" s="20" t="str">
        <v xml:space="preserve">GESTION DEDIEE PART COURTIER 2026 T2 - GENERALI WEALTH SERVICES </v>
      </c>
      <c r="AR24" s="20" t="str">
        <v xml:space="preserve">GENERALI VIE </v>
      </c>
    </row>
    <row r="25" ht="40" customHeight="1">
      <c r="A25" s="22" t="str">
        <v xml:space="preserve">004797058 </v>
      </c>
      <c r="B25" s="22" t="str">
        <v>004016652</v>
      </c>
      <c r="C25" s="23">
        <v>20260904</v>
      </c>
      <c r="D25" s="22" t="str">
        <v>96531A</v>
      </c>
      <c r="E25" s="22" t="str">
        <v>13213B</v>
      </c>
      <c r="F25" s="22" t="str">
        <v>C10228</v>
      </c>
      <c r="G25" s="22" t="str">
        <v xml:space="preserve">ATELIER OPTIMUM </v>
      </c>
      <c r="H25" s="22" t="str">
        <v xml:space="preserve">30C10228 </v>
      </c>
      <c r="I25" s="22" t="str">
        <v xml:space="preserve">Epargne </v>
      </c>
      <c r="J25" s="22">
        <v>9505</v>
      </c>
      <c r="K25" s="22" t="str">
        <v xml:space="preserve">ESPACE INVEST 5 CAPITALISATION </v>
      </c>
      <c r="L25" s="22" t="str">
        <v xml:space="preserve">COT21 - COM. VERSEMENT LIBRE PROGRAMME </v>
      </c>
      <c r="M25" s="22" t="str">
        <v xml:space="preserve">VERSEMENT LIBRE PROGRAMME </v>
      </c>
      <c r="N25" s="22" t="str">
        <v xml:space="preserve">95052624 </v>
      </c>
      <c r="O25" s="22" t="str">
        <v xml:space="preserve">BIDAULT </v>
      </c>
      <c r="P25" s="22" t="str">
        <v xml:space="preserve"> </v>
      </c>
      <c r="Q25" s="22" t="str">
        <v xml:space="preserve"> </v>
      </c>
      <c r="R25" s="22" t="str">
        <v>0007993664</v>
      </c>
      <c r="S25" s="22" t="str">
        <v xml:space="preserve">BIDAULT </v>
      </c>
      <c r="T25" s="22" t="str">
        <v xml:space="preserve">Bernard </v>
      </c>
      <c r="U25" s="22" t="str">
        <v xml:space="preserve">1011377128 </v>
      </c>
      <c r="V25" s="22" t="str">
        <v xml:space="preserve">BIDAULT </v>
      </c>
      <c r="W25" s="22" t="str">
        <v xml:space="preserve">Bernard </v>
      </c>
      <c r="X25" s="22" t="str">
        <v>10.08.2026</v>
      </c>
      <c r="Y25" s="22" t="str">
        <v>15.08.2026</v>
      </c>
      <c r="Z25" s="22" t="str">
        <v>14.09.2026</v>
      </c>
      <c r="AA25" s="22" t="str">
        <v xml:space="preserve">Epargne GB(Assurance vie, BVE, Capi, TAP) </v>
      </c>
      <c r="AB25" s="22" t="str">
        <v xml:space="preserve">UC </v>
      </c>
      <c r="AC25" s="22" t="str">
        <v>LU1819480192</v>
      </c>
      <c r="AD25" s="22" t="str">
        <v xml:space="preserve">ECHIQUIER Artificial Intel B </v>
      </c>
      <c r="AE25" s="23">
        <v>0</v>
      </c>
      <c r="AF25" s="23">
        <v>0</v>
      </c>
      <c r="AG25" s="23">
        <v>100</v>
      </c>
      <c r="AH25" s="23">
        <v>3.5</v>
      </c>
      <c r="AI25" s="22" t="str">
        <v>Calculée</v>
      </c>
      <c r="AJ25" s="22" t="str">
        <v xml:space="preserve">Crédit </v>
      </c>
      <c r="AK25" s="23">
        <v>3.5</v>
      </c>
      <c r="AL25" s="22" t="str">
        <v>EUR</v>
      </c>
      <c r="AM25" s="22" t="str">
        <v>Intermediation</v>
      </c>
      <c r="AN25" s="22" t="str">
        <v>Oui</v>
      </c>
      <c r="AO25" s="22" t="str">
        <v>Non</v>
      </c>
      <c r="AP25" s="22" t="str">
        <v xml:space="preserve"> </v>
      </c>
      <c r="AQ25" s="22" t="str">
        <v xml:space="preserve">GESTION DEDIEE PART COURTIER 2026 T2 - GENERALI WEALTH SERVICES </v>
      </c>
      <c r="AR25" s="22" t="str">
        <v xml:space="preserve">GENERALI VIE </v>
      </c>
    </row>
    <row r="26" ht="40" customHeight="1">
      <c r="A26" s="20" t="str">
        <v xml:space="preserve">004797058 </v>
      </c>
      <c r="B26" s="20" t="str">
        <v>004016652</v>
      </c>
      <c r="C26" s="21">
        <v>20260904</v>
      </c>
      <c r="D26" s="20" t="str">
        <v>96531A</v>
      </c>
      <c r="E26" s="20" t="str">
        <v>13213B</v>
      </c>
      <c r="F26" s="20" t="str">
        <v>C10228</v>
      </c>
      <c r="G26" s="20" t="str">
        <v xml:space="preserve">ATELIER OPTIMUM </v>
      </c>
      <c r="H26" s="20" t="str">
        <v xml:space="preserve">30C10228 </v>
      </c>
      <c r="I26" s="20" t="str">
        <v xml:space="preserve">Epargne </v>
      </c>
      <c r="J26" s="20">
        <v>9505</v>
      </c>
      <c r="K26" s="20" t="str">
        <v xml:space="preserve">ESPACE INVEST 5 CAPITALISATION </v>
      </c>
      <c r="L26" s="20" t="str">
        <v xml:space="preserve">COT21 - COM. VERSEMENT LIBRE PROGRAMME </v>
      </c>
      <c r="M26" s="20" t="str">
        <v xml:space="preserve">VERSEMENT LIBRE PROGRAMME </v>
      </c>
      <c r="N26" s="20" t="str">
        <v xml:space="preserve">95052624 </v>
      </c>
      <c r="O26" s="20" t="str">
        <v xml:space="preserve">BIDAULT </v>
      </c>
      <c r="P26" s="20" t="str">
        <v xml:space="preserve"> </v>
      </c>
      <c r="Q26" s="20" t="str">
        <v xml:space="preserve"> </v>
      </c>
      <c r="R26" s="20" t="str">
        <v>0007993664</v>
      </c>
      <c r="S26" s="20" t="str">
        <v xml:space="preserve">BIDAULT </v>
      </c>
      <c r="T26" s="20" t="str">
        <v xml:space="preserve">Bernard </v>
      </c>
      <c r="U26" s="20" t="str">
        <v xml:space="preserve">1011377128 </v>
      </c>
      <c r="V26" s="20" t="str">
        <v xml:space="preserve">BIDAULT </v>
      </c>
      <c r="W26" s="20" t="str">
        <v xml:space="preserve">Bernard </v>
      </c>
      <c r="X26" s="20" t="str">
        <v>10.08.2026</v>
      </c>
      <c r="Y26" s="20" t="str">
        <v>15.08.2026</v>
      </c>
      <c r="Z26" s="20" t="str">
        <v>14.09.2026</v>
      </c>
      <c r="AA26" s="20" t="str">
        <v xml:space="preserve">Epargne GB(Assurance vie, BVE, Capi, TAP) </v>
      </c>
      <c r="AB26" s="20" t="str">
        <v xml:space="preserve">UC </v>
      </c>
      <c r="AC26" s="20" t="str">
        <v>LU0503631714</v>
      </c>
      <c r="AD26" s="20" t="str">
        <v xml:space="preserve">Pictet Global Envir Opps P </v>
      </c>
      <c r="AE26" s="21">
        <v>0</v>
      </c>
      <c r="AF26" s="21">
        <v>0</v>
      </c>
      <c r="AG26" s="21">
        <v>100</v>
      </c>
      <c r="AH26" s="21">
        <v>3.5</v>
      </c>
      <c r="AI26" s="20" t="str">
        <v>Calculée</v>
      </c>
      <c r="AJ26" s="20" t="str">
        <v xml:space="preserve">Crédit </v>
      </c>
      <c r="AK26" s="21">
        <v>3.5</v>
      </c>
      <c r="AL26" s="20" t="str">
        <v>EUR</v>
      </c>
      <c r="AM26" s="20" t="str">
        <v>Intermediation</v>
      </c>
      <c r="AN26" s="20" t="str">
        <v>Oui</v>
      </c>
      <c r="AO26" s="20" t="str">
        <v>Non</v>
      </c>
      <c r="AP26" s="20" t="str">
        <v xml:space="preserve"> </v>
      </c>
      <c r="AQ26" s="20" t="str">
        <v xml:space="preserve">GESTION DEDIEE PART COURTIER 2026 T2 - GENERALI WEALTH SERVICES </v>
      </c>
      <c r="AR26" s="20" t="str">
        <v xml:space="preserve">GENERALI VIE </v>
      </c>
    </row>
    <row r="27" ht="40" customHeight="1">
      <c r="A27" s="22" t="str">
        <v xml:space="preserve">004797058 </v>
      </c>
      <c r="B27" s="22" t="str">
        <v>004016652</v>
      </c>
      <c r="C27" s="23">
        <v>20260904</v>
      </c>
      <c r="D27" s="22" t="str">
        <v>96531A</v>
      </c>
      <c r="E27" s="22" t="str">
        <v>13213B</v>
      </c>
      <c r="F27" s="22" t="str">
        <v>C10228</v>
      </c>
      <c r="G27" s="22" t="str">
        <v xml:space="preserve">ATELIER OPTIMUM </v>
      </c>
      <c r="H27" s="22" t="str">
        <v xml:space="preserve">30C10228 </v>
      </c>
      <c r="I27" s="22" t="str">
        <v xml:space="preserve">Epargne </v>
      </c>
      <c r="J27" s="22">
        <v>9505</v>
      </c>
      <c r="K27" s="22" t="str">
        <v xml:space="preserve">ESPACE INVEST 5 CAPITALISATION </v>
      </c>
      <c r="L27" s="22" t="str">
        <v xml:space="preserve">COT21 - COM. VERSEMENT LIBRE PROGRAMME </v>
      </c>
      <c r="M27" s="22" t="str">
        <v xml:space="preserve">VERSEMENT LIBRE PROGRAMME </v>
      </c>
      <c r="N27" s="22" t="str">
        <v xml:space="preserve">95052633 </v>
      </c>
      <c r="O27" s="22" t="str">
        <v xml:space="preserve">BIDAULT </v>
      </c>
      <c r="P27" s="22" t="str">
        <v xml:space="preserve"> </v>
      </c>
      <c r="Q27" s="22" t="str">
        <v xml:space="preserve"> </v>
      </c>
      <c r="R27" s="22" t="str">
        <v>0007993664</v>
      </c>
      <c r="S27" s="22" t="str">
        <v xml:space="preserve">BIDAULT </v>
      </c>
      <c r="T27" s="22" t="str">
        <v xml:space="preserve">Bernard </v>
      </c>
      <c r="U27" s="22" t="str">
        <v xml:space="preserve">1011377128 </v>
      </c>
      <c r="V27" s="22" t="str">
        <v xml:space="preserve">BIDAULT </v>
      </c>
      <c r="W27" s="22" t="str">
        <v xml:space="preserve">Bernard </v>
      </c>
      <c r="X27" s="22" t="str">
        <v>10.08.2026</v>
      </c>
      <c r="Y27" s="22" t="str">
        <v>15.08.2026</v>
      </c>
      <c r="Z27" s="22" t="str">
        <v>14.09.2026</v>
      </c>
      <c r="AA27" s="22" t="str">
        <v xml:space="preserve">Epargne GB(Assurance vie, BVE, Capi, TAP) </v>
      </c>
      <c r="AB27" s="22" t="str">
        <v xml:space="preserve">UC </v>
      </c>
      <c r="AC27" s="22" t="str">
        <v>LU0503631714</v>
      </c>
      <c r="AD27" s="22" t="str">
        <v xml:space="preserve">Pictet Global Envir Opps P </v>
      </c>
      <c r="AE27" s="23">
        <v>0</v>
      </c>
      <c r="AF27" s="23">
        <v>0</v>
      </c>
      <c r="AG27" s="23">
        <v>100</v>
      </c>
      <c r="AH27" s="23">
        <v>3.5</v>
      </c>
      <c r="AI27" s="22" t="str">
        <v>Calculée</v>
      </c>
      <c r="AJ27" s="22" t="str">
        <v xml:space="preserve">Crédit </v>
      </c>
      <c r="AK27" s="23">
        <v>3.5</v>
      </c>
      <c r="AL27" s="22" t="str">
        <v>EUR</v>
      </c>
      <c r="AM27" s="22" t="str">
        <v>Intermediation</v>
      </c>
      <c r="AN27" s="22" t="str">
        <v>Oui</v>
      </c>
      <c r="AO27" s="22" t="str">
        <v>Non</v>
      </c>
      <c r="AP27" s="22" t="str">
        <v xml:space="preserve"> </v>
      </c>
      <c r="AQ27" s="22" t="str">
        <v xml:space="preserve">GESTION DEDIEE PART COURTIER 2026 T2 - GENERALI WEALTH SERVICES </v>
      </c>
      <c r="AR27" s="22" t="str">
        <v xml:space="preserve">GENERALI VIE </v>
      </c>
    </row>
    <row r="28" ht="40" customHeight="1">
      <c r="A28" s="20" t="str">
        <v xml:space="preserve">004797058 </v>
      </c>
      <c r="B28" s="20" t="str">
        <v>004016652</v>
      </c>
      <c r="C28" s="21">
        <v>20260904</v>
      </c>
      <c r="D28" s="20" t="str">
        <v>96531A</v>
      </c>
      <c r="E28" s="20" t="str">
        <v>13213B</v>
      </c>
      <c r="F28" s="20" t="str">
        <v>C10228</v>
      </c>
      <c r="G28" s="20" t="str">
        <v xml:space="preserve">ATELIER OPTIMUM </v>
      </c>
      <c r="H28" s="20" t="str">
        <v xml:space="preserve">30C10228 </v>
      </c>
      <c r="I28" s="20" t="str">
        <v xml:space="preserve">Epargne </v>
      </c>
      <c r="J28" s="20">
        <v>9505</v>
      </c>
      <c r="K28" s="20" t="str">
        <v xml:space="preserve">ESPACE INVEST 5 CAPITALISATION </v>
      </c>
      <c r="L28" s="20" t="str">
        <v xml:space="preserve">COT21 - COM. VERSEMENT LIBRE PROGRAMME </v>
      </c>
      <c r="M28" s="20" t="str">
        <v xml:space="preserve">VERSEMENT LIBRE PROGRAMME </v>
      </c>
      <c r="N28" s="20" t="str">
        <v xml:space="preserve">95052633 </v>
      </c>
      <c r="O28" s="20" t="str">
        <v xml:space="preserve">BIDAULT </v>
      </c>
      <c r="P28" s="20" t="str">
        <v xml:space="preserve"> </v>
      </c>
      <c r="Q28" s="20" t="str">
        <v xml:space="preserve"> </v>
      </c>
      <c r="R28" s="20" t="str">
        <v>0007993664</v>
      </c>
      <c r="S28" s="20" t="str">
        <v xml:space="preserve">BIDAULT </v>
      </c>
      <c r="T28" s="20" t="str">
        <v xml:space="preserve">Bernard </v>
      </c>
      <c r="U28" s="20" t="str">
        <v xml:space="preserve">1011377128 </v>
      </c>
      <c r="V28" s="20" t="str">
        <v xml:space="preserve">BIDAULT </v>
      </c>
      <c r="W28" s="20" t="str">
        <v xml:space="preserve">Bernard </v>
      </c>
      <c r="X28" s="20" t="str">
        <v>10.08.2026</v>
      </c>
      <c r="Y28" s="20" t="str">
        <v>15.08.2026</v>
      </c>
      <c r="Z28" s="20" t="str">
        <v>14.09.2026</v>
      </c>
      <c r="AA28" s="20" t="str">
        <v xml:space="preserve">Epargne GB(Assurance vie, BVE, Capi, TAP) </v>
      </c>
      <c r="AB28" s="20" t="str">
        <v xml:space="preserve">UC </v>
      </c>
      <c r="AC28" s="20" t="str">
        <v>LU1819480192</v>
      </c>
      <c r="AD28" s="20" t="str">
        <v xml:space="preserve">ECHIQUIER Artificial Intel B </v>
      </c>
      <c r="AE28" s="21">
        <v>0</v>
      </c>
      <c r="AF28" s="21">
        <v>0</v>
      </c>
      <c r="AG28" s="21">
        <v>100</v>
      </c>
      <c r="AH28" s="21">
        <v>3.5</v>
      </c>
      <c r="AI28" s="20" t="str">
        <v>Calculée</v>
      </c>
      <c r="AJ28" s="20" t="str">
        <v xml:space="preserve">Crédit </v>
      </c>
      <c r="AK28" s="21">
        <v>3.5</v>
      </c>
      <c r="AL28" s="20" t="str">
        <v>EUR</v>
      </c>
      <c r="AM28" s="20" t="str">
        <v>Intermediation</v>
      </c>
      <c r="AN28" s="20" t="str">
        <v>Oui</v>
      </c>
      <c r="AO28" s="20" t="str">
        <v>Non</v>
      </c>
      <c r="AP28" s="20" t="str">
        <v xml:space="preserve"> </v>
      </c>
      <c r="AQ28" s="20" t="str">
        <v xml:space="preserve">GESTION DEDIEE PART COURTIER 2026 T2 - GENERALI WEALTH SERVICES </v>
      </c>
      <c r="AR28" s="20" t="str">
        <v xml:space="preserve">GENERALI VIE </v>
      </c>
    </row>
  </sheetData>
  <autoFilter ref="A1:AR28"/>
  <ignoredErrors>
    <ignoredError numberStoredAsText="1" sqref="A1:AR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15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48.83203125" customWidth="1"/>
    <col min="2" max="2" width="48.83203125" customWidth="1"/>
    <col min="3" max="3" width="46.83203125" customWidth="1"/>
    <col min="4" max="4" width="45.83203125" customWidth="1"/>
    <col min="5" max="5" width="22.83203125" customWidth="1"/>
    <col min="6" max="6" width="23.83203125" customWidth="1"/>
    <col min="7" max="7" width="22.83203125" customWidth="1"/>
    <col min="8" max="8" width="24.83203125" customWidth="1"/>
    <col min="9" max="9" width="27.83203125" customWidth="1"/>
    <col min="10" max="10" width="22.83203125" customWidth="1"/>
    <col min="11" max="11" width="22.83203125" customWidth="1"/>
    <col min="12" max="12" width="48.83203125" customWidth="1"/>
    <col min="13" max="13" width="26.83203125" customWidth="1"/>
    <col min="14" max="14" width="24.83203125" customWidth="1"/>
    <col min="15" max="15" width="45.83203125" customWidth="1"/>
    <col min="16" max="16" width="24.83203125" customWidth="1"/>
    <col min="17" max="17" width="31.83203125" customWidth="1"/>
    <col min="18" max="18" width="33.83203125" customWidth="1"/>
    <col min="19" max="19" width="29.83203125" customWidth="1"/>
    <col min="20" max="20" width="48.83203125" customWidth="1"/>
    <col min="21" max="21" width="47.83203125" customWidth="1"/>
    <col min="22" max="22" width="43.83203125" customWidth="1"/>
    <col min="23" max="23" width="48.83203125" customWidth="1"/>
    <col min="24" max="24" width="48.83203125" customWidth="1"/>
    <col min="25" max="25" width="48.83203125" customWidth="1"/>
    <col min="26" max="26" width="48.83203125" customWidth="1"/>
    <col min="27" max="27" width="47.83203125" customWidth="1"/>
    <col min="28" max="28" width="36.83203125" customWidth="1"/>
    <col min="29" max="29" width="22.83203125" customWidth="1"/>
    <col min="30" max="30" width="37.83203125" customWidth="1"/>
    <col min="31" max="31" width="33.83203125" customWidth="1"/>
  </cols>
  <sheetData>
    <row r="1" ht="40" customHeight="1">
      <c r="A1" s="18" t="str">
        <v>Code intermediaire destinataire règlements</v>
      </c>
      <c r="B1" s="18" t="str">
        <v>Nom intermediaire destinataire règlements</v>
      </c>
      <c r="C1" s="18" t="str">
        <v>Code intermédiaire responsable contrat</v>
      </c>
      <c r="D1" s="18" t="str">
        <v>Nom intermédiaire responsable contrat</v>
      </c>
      <c r="E1" s="19" t="str">
        <v>Code produit</v>
      </c>
      <c r="F1" s="18" t="str">
        <v>Libellé produit</v>
      </c>
      <c r="G1" s="19" t="str">
        <v>Numéro contrat</v>
      </c>
      <c r="H1" s="18" t="str">
        <v>Nom souscripteur</v>
      </c>
      <c r="I1" s="18" t="str">
        <v>Prénom souscripteur</v>
      </c>
      <c r="J1" s="18" t="str">
        <v>Libellé profil</v>
      </c>
      <c r="K1" s="18" t="str">
        <v>Code ISIN</v>
      </c>
      <c r="L1" s="18" t="str">
        <v>Libellé support</v>
      </c>
      <c r="M1" s="18" t="str">
        <v>Nature commissions</v>
      </c>
      <c r="N1" s="18" t="str">
        <v>Type commissions</v>
      </c>
      <c r="O1" s="18" t="str">
        <v>Libellé opération</v>
      </c>
      <c r="P1" s="18" t="str">
        <v>Numéro opération</v>
      </c>
      <c r="Q1" s="18" t="str">
        <v>Date création opération</v>
      </c>
      <c r="R1" s="18" t="str">
        <v>Date validation opération</v>
      </c>
      <c r="S1" s="19" t="str">
        <v>Date valeur opération</v>
      </c>
      <c r="T1" s="18" t="str">
        <v>Montant de l'opération (tous supports) (euros)</v>
      </c>
      <c r="U1" s="18" t="str">
        <v>Montant de l'opération (sur le support)</v>
      </c>
      <c r="V1" s="19" t="str">
        <v>Montant de l'assiette de commission</v>
      </c>
      <c r="W1" s="18" t="str">
        <v>Taux commissions intermédiaire tête réseau</v>
      </c>
      <c r="X1" s="18" t="str">
        <v>Montant commission intermédiaire tête réseau (euros)</v>
      </c>
      <c r="Y1" s="19" t="str">
        <v>Taux commissions intermédiaire responsable contrat</v>
      </c>
      <c r="Z1" s="19" t="str">
        <v>Montant commissions intermédiaire responsable contrat (euros)</v>
      </c>
      <c r="AA1" s="18" t="str">
        <v>Nb de parts de l'assiette de commission</v>
      </c>
      <c r="AB1" s="18" t="str">
        <v>VL utilisé pour calcul frais</v>
      </c>
      <c r="AC1" s="18" t="str">
        <v>Date valeur VL</v>
      </c>
      <c r="AD1" s="18" t="str">
        <v>Code bordereau</v>
      </c>
      <c r="AE1" s="19" t="str">
        <v>Date génération bordereau</v>
      </c>
    </row>
    <row r="2" ht="40" customHeight="1">
      <c r="A2" s="20" t="str">
        <v>A83354</v>
      </c>
      <c r="B2" s="20" t="str">
        <v>GROUPE VALOREM</v>
      </c>
      <c r="C2" s="20" t="str">
        <v>A85625</v>
      </c>
      <c r="D2" s="20" t="str">
        <v>ATELIER OPTIMUM</v>
      </c>
      <c r="E2" s="21">
        <v>4439</v>
      </c>
      <c r="F2" s="20" t="str">
        <v/>
      </c>
      <c r="G2" s="21">
        <v>443935213</v>
      </c>
      <c r="H2" s="20" t="str">
        <v>GODEAU</v>
      </c>
      <c r="I2" s="20" t="str">
        <v>Stephane</v>
      </c>
      <c r="J2" s="20" t="str">
        <v/>
      </c>
      <c r="K2" s="20" t="str">
        <v>FR0010664086</v>
      </c>
      <c r="L2" s="20" t="str">
        <v>Edmond de Rothschild Goldsphere A EUR</v>
      </c>
      <c r="M2" s="20" t="str">
        <v>SUR_OPERATION</v>
      </c>
      <c r="N2" s="20" t="str">
        <v>Commission</v>
      </c>
      <c r="O2" s="20" t="str">
        <v>Surcommission accord pacte engagement</v>
      </c>
      <c r="P2" s="20" t="str">
        <v>443935213/7</v>
      </c>
      <c r="Q2" s="20" t="str">
        <v/>
      </c>
      <c r="R2" s="20" t="str">
        <v/>
      </c>
      <c r="S2" s="21">
        <v>46247</v>
      </c>
      <c r="T2" s="20" t="str">
        <v/>
      </c>
      <c r="U2" s="20" t="str">
        <v/>
      </c>
      <c r="V2" s="21">
        <v>100</v>
      </c>
      <c r="W2" s="20" t="str">
        <v/>
      </c>
      <c r="X2" s="20" t="str">
        <v/>
      </c>
      <c r="Y2" s="21">
        <v>0.005</v>
      </c>
      <c r="Z2" s="21">
        <v>0.5</v>
      </c>
      <c r="AA2" s="20" t="str">
        <v/>
      </c>
      <c r="AB2" s="20" t="str">
        <v/>
      </c>
      <c r="AC2" s="20" t="str">
        <v/>
      </c>
      <c r="AD2" s="20" t="str">
        <v>2026-08-31_BxAPAT_A83354_OP51</v>
      </c>
      <c r="AE2" s="21">
        <v>46267</v>
      </c>
    </row>
    <row r="3" ht="40" customHeight="1">
      <c r="A3" s="22" t="str">
        <v>A83354</v>
      </c>
      <c r="B3" s="22" t="str">
        <v>GROUPE VALOREM</v>
      </c>
      <c r="C3" s="22" t="str">
        <v>A85625</v>
      </c>
      <c r="D3" s="22" t="str">
        <v>ATELIER OPTIMUM</v>
      </c>
      <c r="E3" s="23">
        <v>4439</v>
      </c>
      <c r="F3" s="22" t="str">
        <v/>
      </c>
      <c r="G3" s="23">
        <v>443935213</v>
      </c>
      <c r="H3" s="22" t="str">
        <v>GODEAU</v>
      </c>
      <c r="I3" s="22" t="str">
        <v>Stephane</v>
      </c>
      <c r="J3" s="22" t="str">
        <v/>
      </c>
      <c r="K3" s="22" t="str">
        <v>LU0159052710</v>
      </c>
      <c r="L3" s="22" t="str">
        <v>JPMorgan Funds - US Technology Fund A (acc) - EUR</v>
      </c>
      <c r="M3" s="22" t="str">
        <v>SUR_OPERATION</v>
      </c>
      <c r="N3" s="22" t="str">
        <v>Commission</v>
      </c>
      <c r="O3" s="22" t="str">
        <v>Surcommission accord pacte engagement</v>
      </c>
      <c r="P3" s="22" t="str">
        <v>443935213/7</v>
      </c>
      <c r="Q3" s="22" t="str">
        <v/>
      </c>
      <c r="R3" s="22" t="str">
        <v/>
      </c>
      <c r="S3" s="23">
        <v>46247</v>
      </c>
      <c r="T3" s="22" t="str">
        <v/>
      </c>
      <c r="U3" s="22" t="str">
        <v/>
      </c>
      <c r="V3" s="23">
        <v>100</v>
      </c>
      <c r="W3" s="22" t="str">
        <v/>
      </c>
      <c r="X3" s="22" t="str">
        <v/>
      </c>
      <c r="Y3" s="23">
        <v>0.005</v>
      </c>
      <c r="Z3" s="23">
        <v>0.5</v>
      </c>
      <c r="AA3" s="22" t="str">
        <v/>
      </c>
      <c r="AB3" s="22" t="str">
        <v/>
      </c>
      <c r="AC3" s="22" t="str">
        <v/>
      </c>
      <c r="AD3" s="22" t="str">
        <v>2026-08-31_BxAPAT_A83354_OP51</v>
      </c>
      <c r="AE3" s="23">
        <v>46267</v>
      </c>
    </row>
    <row r="4" ht="40" customHeight="1">
      <c r="A4" s="20" t="str">
        <v>A83354</v>
      </c>
      <c r="B4" s="20" t="str">
        <v>GROUPE VALOREM</v>
      </c>
      <c r="C4" s="20" t="str">
        <v>A85625</v>
      </c>
      <c r="D4" s="20" t="str">
        <v>ATELIER OPTIMUM</v>
      </c>
      <c r="E4" s="21">
        <v>4439</v>
      </c>
      <c r="F4" s="20" t="str">
        <v/>
      </c>
      <c r="G4" s="21">
        <v>443935213</v>
      </c>
      <c r="H4" s="20" t="str">
        <v>GODEAU</v>
      </c>
      <c r="I4" s="20" t="str">
        <v>Stephane</v>
      </c>
      <c r="J4" s="20" t="str">
        <v/>
      </c>
      <c r="K4" s="20" t="str">
        <v>FR0010664086</v>
      </c>
      <c r="L4" s="20" t="str">
        <v>Edmond de Rothschild Goldsphere A EUR</v>
      </c>
      <c r="M4" s="20" t="str">
        <v>SUR_OPERATION</v>
      </c>
      <c r="N4" s="20" t="str">
        <v>Commission</v>
      </c>
      <c r="O4" s="20" t="str">
        <v>Versement libre programmé</v>
      </c>
      <c r="P4" s="20" t="str">
        <v>443935213/7</v>
      </c>
      <c r="Q4" s="20" t="str">
        <v/>
      </c>
      <c r="R4" s="20" t="str">
        <v/>
      </c>
      <c r="S4" s="21">
        <v>46247</v>
      </c>
      <c r="T4" s="20" t="str">
        <v/>
      </c>
      <c r="U4" s="20" t="str">
        <v/>
      </c>
      <c r="V4" s="21">
        <v>100</v>
      </c>
      <c r="W4" s="20" t="str">
        <v/>
      </c>
      <c r="X4" s="20" t="str">
        <v/>
      </c>
      <c r="Y4" s="21">
        <v>0.025</v>
      </c>
      <c r="Z4" s="21">
        <v>2.5</v>
      </c>
      <c r="AA4" s="20" t="str">
        <v/>
      </c>
      <c r="AB4" s="20" t="str">
        <v/>
      </c>
      <c r="AC4" s="20" t="str">
        <v/>
      </c>
      <c r="AD4" s="20" t="str">
        <v>2026-08-31_BxAPAT_A83354_OP51</v>
      </c>
      <c r="AE4" s="21">
        <v>46267</v>
      </c>
    </row>
    <row r="5" ht="40" customHeight="1">
      <c r="A5" s="22" t="str">
        <v>A83354</v>
      </c>
      <c r="B5" s="22" t="str">
        <v>GROUPE VALOREM</v>
      </c>
      <c r="C5" s="22" t="str">
        <v>A85625</v>
      </c>
      <c r="D5" s="22" t="str">
        <v>ATELIER OPTIMUM</v>
      </c>
      <c r="E5" s="23">
        <v>4439</v>
      </c>
      <c r="F5" s="22" t="str">
        <v/>
      </c>
      <c r="G5" s="23">
        <v>443935213</v>
      </c>
      <c r="H5" s="22" t="str">
        <v>GODEAU</v>
      </c>
      <c r="I5" s="22" t="str">
        <v>Stephane</v>
      </c>
      <c r="J5" s="22" t="str">
        <v/>
      </c>
      <c r="K5" s="22" t="str">
        <v>LU0159052710</v>
      </c>
      <c r="L5" s="22" t="str">
        <v>JPMorgan Funds - US Technology Fund A (acc) - EUR</v>
      </c>
      <c r="M5" s="22" t="str">
        <v>SUR_OPERATION</v>
      </c>
      <c r="N5" s="22" t="str">
        <v>Commission</v>
      </c>
      <c r="O5" s="22" t="str">
        <v>Versement libre programmé</v>
      </c>
      <c r="P5" s="22" t="str">
        <v>443935213/7</v>
      </c>
      <c r="Q5" s="22" t="str">
        <v/>
      </c>
      <c r="R5" s="22" t="str">
        <v/>
      </c>
      <c r="S5" s="23">
        <v>46247</v>
      </c>
      <c r="T5" s="22" t="str">
        <v/>
      </c>
      <c r="U5" s="22" t="str">
        <v/>
      </c>
      <c r="V5" s="23">
        <v>100</v>
      </c>
      <c r="W5" s="22" t="str">
        <v/>
      </c>
      <c r="X5" s="22" t="str">
        <v/>
      </c>
      <c r="Y5" s="23">
        <v>0.025</v>
      </c>
      <c r="Z5" s="23">
        <v>2.5</v>
      </c>
      <c r="AA5" s="22" t="str">
        <v/>
      </c>
      <c r="AB5" s="22" t="str">
        <v/>
      </c>
      <c r="AC5" s="22" t="str">
        <v/>
      </c>
      <c r="AD5" s="22" t="str">
        <v>2026-08-31_BxAPAT_A83354_OP51</v>
      </c>
      <c r="AE5" s="23">
        <v>46267</v>
      </c>
    </row>
    <row r="6" ht="40" customHeight="1">
      <c r="A6" s="20" t="str">
        <v>A83354</v>
      </c>
      <c r="B6" s="20" t="str">
        <v>GROUPE VALOREM</v>
      </c>
      <c r="C6" s="20" t="str">
        <v>A85625</v>
      </c>
      <c r="D6" s="20" t="str">
        <v>ATELIER OPTIMUM</v>
      </c>
      <c r="E6" s="21">
        <v>4439</v>
      </c>
      <c r="F6" s="20" t="str">
        <v/>
      </c>
      <c r="G6" s="21">
        <v>443936191</v>
      </c>
      <c r="H6" s="20" t="str">
        <v>MAJOREL</v>
      </c>
      <c r="I6" s="20" t="str">
        <v>Anne Claire</v>
      </c>
      <c r="J6" s="20" t="str">
        <v/>
      </c>
      <c r="K6" s="20" t="str">
        <v>LU0159052710</v>
      </c>
      <c r="L6" s="20" t="str">
        <v>JPMorgan Funds - US Technology Fund A (acc) - EUR</v>
      </c>
      <c r="M6" s="20" t="str">
        <v>SUR_OPERATION</v>
      </c>
      <c r="N6" s="20" t="str">
        <v>Commission</v>
      </c>
      <c r="O6" s="20" t="str">
        <v>Surcommission accord pacte engagement</v>
      </c>
      <c r="P6" s="20" t="str">
        <v>443936191/5</v>
      </c>
      <c r="Q6" s="20" t="str">
        <v/>
      </c>
      <c r="R6" s="20" t="str">
        <v/>
      </c>
      <c r="S6" s="21">
        <v>46247</v>
      </c>
      <c r="T6" s="20" t="str">
        <v/>
      </c>
      <c r="U6" s="20" t="str">
        <v/>
      </c>
      <c r="V6" s="21">
        <v>150</v>
      </c>
      <c r="W6" s="20" t="str">
        <v/>
      </c>
      <c r="X6" s="20" t="str">
        <v/>
      </c>
      <c r="Y6" s="21">
        <v>0.005</v>
      </c>
      <c r="Z6" s="21">
        <v>0.75</v>
      </c>
      <c r="AA6" s="20" t="str">
        <v/>
      </c>
      <c r="AB6" s="20" t="str">
        <v/>
      </c>
      <c r="AC6" s="20" t="str">
        <v/>
      </c>
      <c r="AD6" s="20" t="str">
        <v>2026-08-31_BxAPAT_A83354_OP51</v>
      </c>
      <c r="AE6" s="21">
        <v>46267</v>
      </c>
    </row>
    <row r="7" ht="40" customHeight="1">
      <c r="A7" s="22" t="str">
        <v>A83354</v>
      </c>
      <c r="B7" s="22" t="str">
        <v>GROUPE VALOREM</v>
      </c>
      <c r="C7" s="22" t="str">
        <v>A85625</v>
      </c>
      <c r="D7" s="22" t="str">
        <v>ATELIER OPTIMUM</v>
      </c>
      <c r="E7" s="23">
        <v>4439</v>
      </c>
      <c r="F7" s="22" t="str">
        <v/>
      </c>
      <c r="G7" s="23">
        <v>443936191</v>
      </c>
      <c r="H7" s="22" t="str">
        <v>MAJOREL</v>
      </c>
      <c r="I7" s="22" t="str">
        <v>Anne Claire</v>
      </c>
      <c r="J7" s="22" t="str">
        <v/>
      </c>
      <c r="K7" s="22" t="str">
        <v>LU0159052710</v>
      </c>
      <c r="L7" s="22" t="str">
        <v>JPMorgan Funds - US Technology Fund A (acc) - EUR</v>
      </c>
      <c r="M7" s="22" t="str">
        <v>SUR_OPERATION</v>
      </c>
      <c r="N7" s="22" t="str">
        <v>Commission</v>
      </c>
      <c r="O7" s="22" t="str">
        <v>Versement libre programmé</v>
      </c>
      <c r="P7" s="22" t="str">
        <v>443936191/5</v>
      </c>
      <c r="Q7" s="22" t="str">
        <v/>
      </c>
      <c r="R7" s="22" t="str">
        <v/>
      </c>
      <c r="S7" s="23">
        <v>46247</v>
      </c>
      <c r="T7" s="22" t="str">
        <v/>
      </c>
      <c r="U7" s="22" t="str">
        <v/>
      </c>
      <c r="V7" s="23">
        <v>150</v>
      </c>
      <c r="W7" s="22" t="str">
        <v/>
      </c>
      <c r="X7" s="22" t="str">
        <v/>
      </c>
      <c r="Y7" s="23">
        <v>0.025</v>
      </c>
      <c r="Z7" s="23">
        <v>3.75</v>
      </c>
      <c r="AA7" s="22" t="str">
        <v/>
      </c>
      <c r="AB7" s="22" t="str">
        <v/>
      </c>
      <c r="AC7" s="22" t="str">
        <v/>
      </c>
      <c r="AD7" s="22" t="str">
        <v>2026-08-31_BxAPAT_A83354_OP51</v>
      </c>
      <c r="AE7" s="23">
        <v>46267</v>
      </c>
    </row>
    <row r="8" ht="40" customHeight="1">
      <c r="A8" s="20" t="str">
        <v>A83354</v>
      </c>
      <c r="B8" s="20" t="str">
        <v>GROUPE VALOREM</v>
      </c>
      <c r="C8" s="20" t="str">
        <v>A85625</v>
      </c>
      <c r="D8" s="20" t="str">
        <v>ATELIER OPTIMUM</v>
      </c>
      <c r="E8" s="21">
        <v>4439</v>
      </c>
      <c r="F8" s="20" t="str">
        <v/>
      </c>
      <c r="G8" s="21">
        <v>443936192</v>
      </c>
      <c r="H8" s="20" t="str">
        <v>GLADYSZ</v>
      </c>
      <c r="I8" s="20" t="str">
        <v>Colombine</v>
      </c>
      <c r="J8" s="20" t="str">
        <v/>
      </c>
      <c r="K8" s="20" t="str">
        <v>FR0010149302</v>
      </c>
      <c r="L8" s="20" t="str">
        <v>Carmignac Emergents A EUR Acc</v>
      </c>
      <c r="M8" s="20" t="str">
        <v>SUR_OPERATION</v>
      </c>
      <c r="N8" s="20" t="str">
        <v>Commission</v>
      </c>
      <c r="O8" s="20" t="str">
        <v>Surcommission accord pacte engagement</v>
      </c>
      <c r="P8" s="20" t="str">
        <v>443936192/7</v>
      </c>
      <c r="Q8" s="20" t="str">
        <v/>
      </c>
      <c r="R8" s="20" t="str">
        <v/>
      </c>
      <c r="S8" s="21">
        <v>46247</v>
      </c>
      <c r="T8" s="20" t="str">
        <v/>
      </c>
      <c r="U8" s="20" t="str">
        <v/>
      </c>
      <c r="V8" s="21">
        <v>100</v>
      </c>
      <c r="W8" s="20" t="str">
        <v/>
      </c>
      <c r="X8" s="20" t="str">
        <v/>
      </c>
      <c r="Y8" s="21">
        <v>0.005</v>
      </c>
      <c r="Z8" s="21">
        <v>0.5</v>
      </c>
      <c r="AA8" s="20" t="str">
        <v/>
      </c>
      <c r="AB8" s="20" t="str">
        <v/>
      </c>
      <c r="AC8" s="20" t="str">
        <v/>
      </c>
      <c r="AD8" s="20" t="str">
        <v>2026-08-31_BxAPAT_A83354_OP51</v>
      </c>
      <c r="AE8" s="21">
        <v>46267</v>
      </c>
    </row>
    <row r="9" ht="40" customHeight="1">
      <c r="A9" s="22" t="str">
        <v>A83354</v>
      </c>
      <c r="B9" s="22" t="str">
        <v>GROUPE VALOREM</v>
      </c>
      <c r="C9" s="22" t="str">
        <v>A85625</v>
      </c>
      <c r="D9" s="22" t="str">
        <v>ATELIER OPTIMUM</v>
      </c>
      <c r="E9" s="23">
        <v>4439</v>
      </c>
      <c r="F9" s="22" t="str">
        <v/>
      </c>
      <c r="G9" s="23">
        <v>443936192</v>
      </c>
      <c r="H9" s="22" t="str">
        <v>GLADYSZ</v>
      </c>
      <c r="I9" s="22" t="str">
        <v>Colombine</v>
      </c>
      <c r="J9" s="22" t="str">
        <v/>
      </c>
      <c r="K9" s="22" t="str">
        <v>LU2181906426</v>
      </c>
      <c r="L9" s="22" t="str">
        <v>Sycomore Fund SICAV - Sycomore Sustainable Tech R EUR</v>
      </c>
      <c r="M9" s="22" t="str">
        <v>SUR_OPERATION</v>
      </c>
      <c r="N9" s="22" t="str">
        <v>Commission</v>
      </c>
      <c r="O9" s="22" t="str">
        <v>Surcommission accord pacte engagement</v>
      </c>
      <c r="P9" s="22" t="str">
        <v>443936192/7</v>
      </c>
      <c r="Q9" s="22" t="str">
        <v/>
      </c>
      <c r="R9" s="22" t="str">
        <v/>
      </c>
      <c r="S9" s="23">
        <v>46247</v>
      </c>
      <c r="T9" s="22" t="str">
        <v/>
      </c>
      <c r="U9" s="22" t="str">
        <v/>
      </c>
      <c r="V9" s="23">
        <v>100</v>
      </c>
      <c r="W9" s="22" t="str">
        <v/>
      </c>
      <c r="X9" s="22" t="str">
        <v/>
      </c>
      <c r="Y9" s="23">
        <v>0.005</v>
      </c>
      <c r="Z9" s="23">
        <v>0.5</v>
      </c>
      <c r="AA9" s="22" t="str">
        <v/>
      </c>
      <c r="AB9" s="22" t="str">
        <v/>
      </c>
      <c r="AC9" s="22" t="str">
        <v/>
      </c>
      <c r="AD9" s="22" t="str">
        <v>2026-08-31_BxAPAT_A83354_OP51</v>
      </c>
      <c r="AE9" s="23">
        <v>46267</v>
      </c>
    </row>
    <row r="10" ht="40" customHeight="1">
      <c r="A10" s="20" t="str">
        <v>A83354</v>
      </c>
      <c r="B10" s="20" t="str">
        <v>GROUPE VALOREM</v>
      </c>
      <c r="C10" s="20" t="str">
        <v>A85625</v>
      </c>
      <c r="D10" s="20" t="str">
        <v>ATELIER OPTIMUM</v>
      </c>
      <c r="E10" s="21">
        <v>4439</v>
      </c>
      <c r="F10" s="20" t="str">
        <v/>
      </c>
      <c r="G10" s="21">
        <v>443936192</v>
      </c>
      <c r="H10" s="20" t="str">
        <v>GLADYSZ</v>
      </c>
      <c r="I10" s="20" t="str">
        <v>Colombine</v>
      </c>
      <c r="J10" s="20" t="str">
        <v/>
      </c>
      <c r="K10" s="20" t="str">
        <v>FR0010149302</v>
      </c>
      <c r="L10" s="20" t="str">
        <v>Carmignac Emergents A EUR Acc</v>
      </c>
      <c r="M10" s="20" t="str">
        <v>SUR_OPERATION</v>
      </c>
      <c r="N10" s="20" t="str">
        <v>Commission</v>
      </c>
      <c r="O10" s="20" t="str">
        <v>Versement libre programmé</v>
      </c>
      <c r="P10" s="20" t="str">
        <v>443936192/7</v>
      </c>
      <c r="Q10" s="20" t="str">
        <v/>
      </c>
      <c r="R10" s="20" t="str">
        <v/>
      </c>
      <c r="S10" s="21">
        <v>46247</v>
      </c>
      <c r="T10" s="20" t="str">
        <v/>
      </c>
      <c r="U10" s="20" t="str">
        <v/>
      </c>
      <c r="V10" s="21">
        <v>100</v>
      </c>
      <c r="W10" s="20" t="str">
        <v/>
      </c>
      <c r="X10" s="20" t="str">
        <v/>
      </c>
      <c r="Y10" s="21">
        <v>0.02</v>
      </c>
      <c r="Z10" s="21">
        <v>2</v>
      </c>
      <c r="AA10" s="20" t="str">
        <v/>
      </c>
      <c r="AB10" s="20" t="str">
        <v/>
      </c>
      <c r="AC10" s="20" t="str">
        <v/>
      </c>
      <c r="AD10" s="20" t="str">
        <v>2026-08-31_BxAPAT_A83354_OP51</v>
      </c>
      <c r="AE10" s="21">
        <v>46267</v>
      </c>
    </row>
    <row r="11" ht="40" customHeight="1">
      <c r="A11" s="22" t="str">
        <v>A83354</v>
      </c>
      <c r="B11" s="22" t="str">
        <v>GROUPE VALOREM</v>
      </c>
      <c r="C11" s="22" t="str">
        <v>A85625</v>
      </c>
      <c r="D11" s="22" t="str">
        <v>ATELIER OPTIMUM</v>
      </c>
      <c r="E11" s="23">
        <v>4439</v>
      </c>
      <c r="F11" s="22" t="str">
        <v/>
      </c>
      <c r="G11" s="23">
        <v>443936192</v>
      </c>
      <c r="H11" s="22" t="str">
        <v>GLADYSZ</v>
      </c>
      <c r="I11" s="22" t="str">
        <v>Colombine</v>
      </c>
      <c r="J11" s="22" t="str">
        <v/>
      </c>
      <c r="K11" s="22" t="str">
        <v>LU2181906426</v>
      </c>
      <c r="L11" s="22" t="str">
        <v>Sycomore Fund SICAV - Sycomore Sustainable Tech R EUR</v>
      </c>
      <c r="M11" s="22" t="str">
        <v>SUR_OPERATION</v>
      </c>
      <c r="N11" s="22" t="str">
        <v>Commission</v>
      </c>
      <c r="O11" s="22" t="str">
        <v>Versement libre programmé</v>
      </c>
      <c r="P11" s="22" t="str">
        <v>443936192/7</v>
      </c>
      <c r="Q11" s="22" t="str">
        <v/>
      </c>
      <c r="R11" s="22" t="str">
        <v/>
      </c>
      <c r="S11" s="23">
        <v>46247</v>
      </c>
      <c r="T11" s="22" t="str">
        <v/>
      </c>
      <c r="U11" s="22" t="str">
        <v/>
      </c>
      <c r="V11" s="23">
        <v>100</v>
      </c>
      <c r="W11" s="22" t="str">
        <v/>
      </c>
      <c r="X11" s="22" t="str">
        <v/>
      </c>
      <c r="Y11" s="23">
        <v>0.02</v>
      </c>
      <c r="Z11" s="23">
        <v>2</v>
      </c>
      <c r="AA11" s="22" t="str">
        <v/>
      </c>
      <c r="AB11" s="22" t="str">
        <v/>
      </c>
      <c r="AC11" s="22" t="str">
        <v/>
      </c>
      <c r="AD11" s="22" t="str">
        <v>2026-08-31_BxAPAT_A83354_OP51</v>
      </c>
      <c r="AE11" s="23">
        <v>46267</v>
      </c>
    </row>
    <row r="12" ht="40" customHeight="1">
      <c r="A12" s="20" t="str">
        <v>A83354</v>
      </c>
      <c r="B12" s="20" t="str">
        <v>GROUPE VALOREM</v>
      </c>
      <c r="C12" s="20" t="str">
        <v>A85625</v>
      </c>
      <c r="D12" s="20" t="str">
        <v>ATELIER OPTIMUM</v>
      </c>
      <c r="E12" s="21">
        <v>4439</v>
      </c>
      <c r="F12" s="20" t="str">
        <v/>
      </c>
      <c r="G12" s="21">
        <v>443937938</v>
      </c>
      <c r="H12" s="20" t="str">
        <v>PUJOL DE SALAS</v>
      </c>
      <c r="I12" s="20" t="str">
        <v>José</v>
      </c>
      <c r="J12" s="20" t="str">
        <v/>
      </c>
      <c r="K12" s="20" t="str">
        <v>LU0159052710</v>
      </c>
      <c r="L12" s="20" t="str">
        <v>JPMorgan Funds - US Technology Fund A (acc) - EUR</v>
      </c>
      <c r="M12" s="20" t="str">
        <v>SUR_OPERATION</v>
      </c>
      <c r="N12" s="20" t="str">
        <v>Commission</v>
      </c>
      <c r="O12" s="20" t="str">
        <v>Surcommission accord pacte engagement</v>
      </c>
      <c r="P12" s="20" t="str">
        <v>443937938/3</v>
      </c>
      <c r="Q12" s="20" t="str">
        <v/>
      </c>
      <c r="R12" s="20" t="str">
        <v/>
      </c>
      <c r="S12" s="21">
        <v>46247</v>
      </c>
      <c r="T12" s="20" t="str">
        <v/>
      </c>
      <c r="U12" s="20" t="str">
        <v/>
      </c>
      <c r="V12" s="21">
        <v>150</v>
      </c>
      <c r="W12" s="20" t="str">
        <v/>
      </c>
      <c r="X12" s="20" t="str">
        <v/>
      </c>
      <c r="Y12" s="21">
        <v>0.005</v>
      </c>
      <c r="Z12" s="21">
        <v>0.75</v>
      </c>
      <c r="AA12" s="20" t="str">
        <v/>
      </c>
      <c r="AB12" s="20" t="str">
        <v/>
      </c>
      <c r="AC12" s="20" t="str">
        <v/>
      </c>
      <c r="AD12" s="20" t="str">
        <v>2026-08-31_BxAPAT_A83354_OP51</v>
      </c>
      <c r="AE12" s="21">
        <v>46267</v>
      </c>
    </row>
    <row r="13" ht="40" customHeight="1">
      <c r="A13" s="22" t="str">
        <v>A83354</v>
      </c>
      <c r="B13" s="22" t="str">
        <v>GROUPE VALOREM</v>
      </c>
      <c r="C13" s="22" t="str">
        <v>A85625</v>
      </c>
      <c r="D13" s="22" t="str">
        <v>ATELIER OPTIMUM</v>
      </c>
      <c r="E13" s="23">
        <v>4439</v>
      </c>
      <c r="F13" s="22" t="str">
        <v/>
      </c>
      <c r="G13" s="23">
        <v>443937938</v>
      </c>
      <c r="H13" s="22" t="str">
        <v>PUJOL DE SALAS</v>
      </c>
      <c r="I13" s="22" t="str">
        <v>José</v>
      </c>
      <c r="J13" s="22" t="str">
        <v/>
      </c>
      <c r="K13" s="22" t="str">
        <v>FR0010460493</v>
      </c>
      <c r="L13" s="22" t="str">
        <v>Tikehau European High Yield Units Class-R-Acc-EUR</v>
      </c>
      <c r="M13" s="22" t="str">
        <v>SUR_OPERATION</v>
      </c>
      <c r="N13" s="22" t="str">
        <v>Commission</v>
      </c>
      <c r="O13" s="22" t="str">
        <v>Surcommission accord pacte engagement</v>
      </c>
      <c r="P13" s="22" t="str">
        <v>443937938/3</v>
      </c>
      <c r="Q13" s="22" t="str">
        <v/>
      </c>
      <c r="R13" s="22" t="str">
        <v/>
      </c>
      <c r="S13" s="23">
        <v>46247</v>
      </c>
      <c r="T13" s="22" t="str">
        <v/>
      </c>
      <c r="U13" s="22" t="str">
        <v/>
      </c>
      <c r="V13" s="23">
        <v>150</v>
      </c>
      <c r="W13" s="22" t="str">
        <v/>
      </c>
      <c r="X13" s="22" t="str">
        <v/>
      </c>
      <c r="Y13" s="23">
        <v>0.005</v>
      </c>
      <c r="Z13" s="23">
        <v>0.75</v>
      </c>
      <c r="AA13" s="22" t="str">
        <v/>
      </c>
      <c r="AB13" s="22" t="str">
        <v/>
      </c>
      <c r="AC13" s="22" t="str">
        <v/>
      </c>
      <c r="AD13" s="22" t="str">
        <v>2026-08-31_BxAPAT_A83354_OP51</v>
      </c>
      <c r="AE13" s="23">
        <v>46267</v>
      </c>
    </row>
    <row r="14" ht="40" customHeight="1">
      <c r="A14" s="20" t="str">
        <v>A83354</v>
      </c>
      <c r="B14" s="20" t="str">
        <v>GROUPE VALOREM</v>
      </c>
      <c r="C14" s="20" t="str">
        <v>A85625</v>
      </c>
      <c r="D14" s="20" t="str">
        <v>ATELIER OPTIMUM</v>
      </c>
      <c r="E14" s="21">
        <v>4439</v>
      </c>
      <c r="F14" s="20" t="str">
        <v/>
      </c>
      <c r="G14" s="21">
        <v>443937938</v>
      </c>
      <c r="H14" s="20" t="str">
        <v>PUJOL DE SALAS</v>
      </c>
      <c r="I14" s="20" t="str">
        <v>José</v>
      </c>
      <c r="J14" s="20" t="str">
        <v/>
      </c>
      <c r="K14" s="20" t="str">
        <v>LU0159052710</v>
      </c>
      <c r="L14" s="20" t="str">
        <v>JPMorgan Funds - US Technology Fund A (acc) - EUR</v>
      </c>
      <c r="M14" s="20" t="str">
        <v>SUR_OPERATION</v>
      </c>
      <c r="N14" s="20" t="str">
        <v>Commission</v>
      </c>
      <c r="O14" s="20" t="str">
        <v>Versement libre programmé</v>
      </c>
      <c r="P14" s="20" t="str">
        <v>443937938/3</v>
      </c>
      <c r="Q14" s="20" t="str">
        <v/>
      </c>
      <c r="R14" s="20" t="str">
        <v/>
      </c>
      <c r="S14" s="21">
        <v>46247</v>
      </c>
      <c r="T14" s="20" t="str">
        <v/>
      </c>
      <c r="U14" s="20" t="str">
        <v/>
      </c>
      <c r="V14" s="21">
        <v>150</v>
      </c>
      <c r="W14" s="20" t="str">
        <v/>
      </c>
      <c r="X14" s="20" t="str">
        <v/>
      </c>
      <c r="Y14" s="21">
        <v>0.005</v>
      </c>
      <c r="Z14" s="21">
        <v>0.75</v>
      </c>
      <c r="AA14" s="20" t="str">
        <v/>
      </c>
      <c r="AB14" s="20" t="str">
        <v/>
      </c>
      <c r="AC14" s="20" t="str">
        <v/>
      </c>
      <c r="AD14" s="20" t="str">
        <v>2026-08-31_BxAPAT_A83354_OP51</v>
      </c>
      <c r="AE14" s="21">
        <v>46267</v>
      </c>
    </row>
    <row r="15" ht="40" customHeight="1">
      <c r="A15" s="22" t="str">
        <v>A83354</v>
      </c>
      <c r="B15" s="22" t="str">
        <v>GROUPE VALOREM</v>
      </c>
      <c r="C15" s="22" t="str">
        <v>A85625</v>
      </c>
      <c r="D15" s="22" t="str">
        <v>ATELIER OPTIMUM</v>
      </c>
      <c r="E15" s="23">
        <v>4439</v>
      </c>
      <c r="F15" s="22" t="str">
        <v/>
      </c>
      <c r="G15" s="23">
        <v>443937938</v>
      </c>
      <c r="H15" s="22" t="str">
        <v>PUJOL DE SALAS</v>
      </c>
      <c r="I15" s="22" t="str">
        <v>José</v>
      </c>
      <c r="J15" s="22" t="str">
        <v/>
      </c>
      <c r="K15" s="22" t="str">
        <v>FR0010460493</v>
      </c>
      <c r="L15" s="22" t="str">
        <v>Tikehau European High Yield Units Class-R-Acc-EUR</v>
      </c>
      <c r="M15" s="22" t="str">
        <v>SUR_OPERATION</v>
      </c>
      <c r="N15" s="22" t="str">
        <v>Commission</v>
      </c>
      <c r="O15" s="22" t="str">
        <v>Versement libre programmé</v>
      </c>
      <c r="P15" s="22" t="str">
        <v>443937938/3</v>
      </c>
      <c r="Q15" s="22" t="str">
        <v/>
      </c>
      <c r="R15" s="22" t="str">
        <v/>
      </c>
      <c r="S15" s="23">
        <v>46247</v>
      </c>
      <c r="T15" s="22" t="str">
        <v/>
      </c>
      <c r="U15" s="22" t="str">
        <v/>
      </c>
      <c r="V15" s="23">
        <v>150</v>
      </c>
      <c r="W15" s="22" t="str">
        <v/>
      </c>
      <c r="X15" s="22" t="str">
        <v/>
      </c>
      <c r="Y15" s="23">
        <v>0.005</v>
      </c>
      <c r="Z15" s="23">
        <v>0.75</v>
      </c>
      <c r="AA15" s="22" t="str">
        <v/>
      </c>
      <c r="AB15" s="22" t="str">
        <v/>
      </c>
      <c r="AC15" s="22" t="str">
        <v/>
      </c>
      <c r="AD15" s="22" t="str">
        <v>2026-08-31_BxAPAT_A83354_OP51</v>
      </c>
      <c r="AE15" s="23">
        <v>46267</v>
      </c>
    </row>
  </sheetData>
  <autoFilter ref="A1:AE15"/>
  <ignoredErrors>
    <ignoredError numberStoredAsText="1" sqref="A1:A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 (CLAER Albane)</vt:lpstr>
      <vt:lpstr>Generali Patrimoine</vt:lpstr>
      <vt:lpstr>UAF Life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